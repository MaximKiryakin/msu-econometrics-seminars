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1) Без сезонности" sheetId="2" state="visible" r:id="rId2"/>
    <sheet xmlns:r="http://schemas.openxmlformats.org/officeDocument/2006/relationships" name="2) С сезонностью" sheetId="3" state="visible" r:id="rId3"/>
    <sheet xmlns:r="http://schemas.openxmlformats.org/officeDocument/2006/relationships" name="3) Только QRT2" sheetId="4" state="visible" r:id="rId4"/>
    <sheet xmlns:r="http://schemas.openxmlformats.org/officeDocument/2006/relationships" name="4) Тес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</font>
    <font>
      <name val="Arial"/>
      <color rgb="000000FF"/>
    </font>
    <font>
      <name val="Arial"/>
    </font>
    <font>
      <name val="Arial"/>
      <color rgb="00008000"/>
    </font>
    <font>
      <name val="Arial"/>
      <b val="1"/>
      <color rgb="001F4E79"/>
      <sz val="11"/>
    </font>
    <font>
      <name val="Arial"/>
      <color rgb="00595959"/>
      <sz val="9"/>
    </font>
    <font>
      <name val="Arial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" fontId="4" fillId="0" borderId="1" pivotButton="0" quotePrefix="0" xfId="0"/>
    <xf numFmtId="164" fontId="4" fillId="0" borderId="1" pivotButton="0" quotePrefix="0" xfId="0"/>
    <xf numFmtId="1" fontId="5" fillId="0" borderId="1" pivotButton="0" quotePrefix="0" xfId="0"/>
    <xf numFmtId="0" fontId="3" fillId="0" borderId="0" pivotButton="0" quotePrefix="0" xfId="0"/>
    <xf numFmtId="1" fontId="9" fillId="0" borderId="1" pivotButton="0" quotePrefix="0" xfId="0"/>
    <xf numFmtId="165" fontId="9" fillId="0" borderId="1" pivotButton="0" quotePrefix="0" xfId="0"/>
    <xf numFmtId="2" fontId="9" fillId="0" borderId="1" pivotButton="0" quotePrefix="0" xfId="0"/>
    <xf numFmtId="166" fontId="9" fillId="3" borderId="1" pivotButton="0" quotePrefix="0" xfId="0"/>
    <xf numFmtId="165" fontId="9" fillId="3" borderId="1" pivotButton="0" quotePrefix="0" xfId="0"/>
    <xf numFmtId="2" fontId="9" fillId="3" borderId="1" pivotButton="0" quotePrefix="0" xfId="0"/>
    <xf numFmtId="0" fontId="3" fillId="0" borderId="1" pivotButton="0" quotePrefix="0" xfId="0"/>
    <xf numFmtId="165" fontId="5" fillId="3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4" fontId="6" fillId="0" borderId="1" pivotButton="0" quotePrefix="0" xfId="0"/>
    <xf numFmtId="1" fontId="6" fillId="0" borderId="1" pivotButton="0" quotePrefix="0" xfId="0"/>
    <xf numFmtId="166" fontId="5" fillId="3" borderId="0" pivotButton="0" quotePrefix="0" xfId="0"/>
    <xf numFmtId="1" fontId="5" fillId="0" borderId="0" pivotButton="0" quotePrefix="0" xfId="0"/>
    <xf numFmtId="2" fontId="5" fillId="3" borderId="0" pivotButton="0" quotePrefix="0" xfId="0"/>
    <xf numFmtId="0" fontId="7" fillId="0" borderId="0" pivotButton="0" quotePrefix="0" xfId="0"/>
    <xf numFmtId="2" fontId="6" fillId="0" borderId="1" pivotButton="0" quotePrefix="0" xfId="0"/>
    <xf numFmtId="0" fontId="8" fillId="0" borderId="0" pivotButton="0" quotePrefix="0" xfId="0"/>
    <xf numFmtId="0" fontId="9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8" customWidth="1" min="4" max="4"/>
    <col width="8" customWidth="1" min="5" max="5"/>
    <col width="8" customWidth="1" min="6" max="6"/>
    <col width="14" customWidth="1" min="7" max="7"/>
  </cols>
  <sheetData>
    <row r="1">
      <c r="A1" s="1" t="inlineStr">
        <is>
          <t>Задача 4.15. Продажи и доход текстильных корпораций США, 1974–1979</t>
        </is>
      </c>
    </row>
    <row r="2">
      <c r="A2" s="2" t="inlineStr">
        <is>
          <t>Синий шрифт — исходные данные из условия; чёрный — формулы; зелёный — ссылки на другие листы.</t>
        </is>
      </c>
    </row>
    <row r="3">
      <c r="A3" s="2" t="inlineStr">
        <is>
          <t>Вопрос: есть ли сезонные колебания дохода при одном и том же объёме продаж.</t>
        </is>
      </c>
    </row>
    <row r="4"/>
    <row r="5">
      <c r="A5" s="3" t="inlineStr">
        <is>
          <t>Год</t>
        </is>
      </c>
      <c r="B5" s="3" t="inlineStr">
        <is>
          <t>Квартал</t>
        </is>
      </c>
      <c r="C5" s="3" t="inlineStr">
        <is>
          <t>VOL — продажи</t>
        </is>
      </c>
      <c r="D5" s="3" t="inlineStr">
        <is>
          <t>QRT1</t>
        </is>
      </c>
      <c r="E5" s="3" t="inlineStr">
        <is>
          <t>QRT2</t>
        </is>
      </c>
      <c r="F5" s="3" t="inlineStr">
        <is>
          <t>QRT3</t>
        </is>
      </c>
      <c r="G5" s="3" t="inlineStr">
        <is>
          <t>INC — доход</t>
        </is>
      </c>
    </row>
    <row r="6">
      <c r="A6" s="4" t="n">
        <v>1974</v>
      </c>
      <c r="B6" s="4" t="n">
        <v>1</v>
      </c>
      <c r="C6" s="5" t="n">
        <v>242</v>
      </c>
      <c r="D6" s="6">
        <f>IF($B6=1,1,0)</f>
        <v/>
      </c>
      <c r="E6" s="6">
        <f>IF($B6=2,1,0)</f>
        <v/>
      </c>
      <c r="F6" s="6">
        <f>IF($B6=3,1,0)</f>
        <v/>
      </c>
      <c r="G6" s="5" t="n">
        <v>13.5</v>
      </c>
    </row>
    <row r="7">
      <c r="A7" s="4" t="n">
        <v>1974</v>
      </c>
      <c r="B7" s="4" t="n">
        <v>2</v>
      </c>
      <c r="C7" s="5" t="n">
        <v>269.4</v>
      </c>
      <c r="D7" s="6">
        <f>IF($B7=1,1,0)</f>
        <v/>
      </c>
      <c r="E7" s="6">
        <f>IF($B7=2,1,0)</f>
        <v/>
      </c>
      <c r="F7" s="6">
        <f>IF($B7=3,1,0)</f>
        <v/>
      </c>
      <c r="G7" s="5" t="n">
        <v>16.3</v>
      </c>
    </row>
    <row r="8">
      <c r="A8" s="4" t="n">
        <v>1974</v>
      </c>
      <c r="B8" s="4" t="n">
        <v>3</v>
      </c>
      <c r="C8" s="5" t="n">
        <v>272.1</v>
      </c>
      <c r="D8" s="6">
        <f>IF($B8=1,1,0)</f>
        <v/>
      </c>
      <c r="E8" s="6">
        <f>IF($B8=2,1,0)</f>
        <v/>
      </c>
      <c r="F8" s="6">
        <f>IF($B8=3,1,0)</f>
        <v/>
      </c>
      <c r="G8" s="5" t="n">
        <v>15.5</v>
      </c>
    </row>
    <row r="9">
      <c r="A9" s="4" t="n">
        <v>1974</v>
      </c>
      <c r="B9" s="4" t="n">
        <v>4</v>
      </c>
      <c r="C9" s="5" t="n">
        <v>277</v>
      </c>
      <c r="D9" s="6">
        <f>IF($B9=1,1,0)</f>
        <v/>
      </c>
      <c r="E9" s="6">
        <f>IF($B9=2,1,0)</f>
        <v/>
      </c>
      <c r="F9" s="6">
        <f>IF($B9=3,1,0)</f>
        <v/>
      </c>
      <c r="G9" s="5" t="n">
        <v>13.4</v>
      </c>
    </row>
    <row r="10">
      <c r="A10" s="4" t="n">
        <v>1975</v>
      </c>
      <c r="B10" s="4" t="n">
        <v>1</v>
      </c>
      <c r="C10" s="5" t="n">
        <v>247.1</v>
      </c>
      <c r="D10" s="6">
        <f>IF($B10=1,1,0)</f>
        <v/>
      </c>
      <c r="E10" s="6">
        <f>IF($B10=2,1,0)</f>
        <v/>
      </c>
      <c r="F10" s="6">
        <f>IF($B10=3,1,0)</f>
        <v/>
      </c>
      <c r="G10" s="5" t="n">
        <v>9.300000000000001</v>
      </c>
    </row>
    <row r="11">
      <c r="A11" s="4" t="n">
        <v>1975</v>
      </c>
      <c r="B11" s="4" t="n">
        <v>2</v>
      </c>
      <c r="C11" s="5" t="n">
        <v>265.8</v>
      </c>
      <c r="D11" s="6">
        <f>IF($B11=1,1,0)</f>
        <v/>
      </c>
      <c r="E11" s="6">
        <f>IF($B11=2,1,0)</f>
        <v/>
      </c>
      <c r="F11" s="6">
        <f>IF($B11=3,1,0)</f>
        <v/>
      </c>
      <c r="G11" s="5" t="n">
        <v>12.4</v>
      </c>
    </row>
    <row r="12">
      <c r="A12" s="4" t="n">
        <v>1975</v>
      </c>
      <c r="B12" s="4" t="n">
        <v>3</v>
      </c>
      <c r="C12" s="5" t="n">
        <v>271</v>
      </c>
      <c r="D12" s="6">
        <f>IF($B12=1,1,0)</f>
        <v/>
      </c>
      <c r="E12" s="6">
        <f>IF($B12=2,1,0)</f>
        <v/>
      </c>
      <c r="F12" s="6">
        <f>IF($B12=3,1,0)</f>
        <v/>
      </c>
      <c r="G12" s="5" t="n">
        <v>13.2</v>
      </c>
    </row>
    <row r="13">
      <c r="A13" s="4" t="n">
        <v>1975</v>
      </c>
      <c r="B13" s="4" t="n">
        <v>4</v>
      </c>
      <c r="C13" s="5" t="n">
        <v>281.3</v>
      </c>
      <c r="D13" s="6">
        <f>IF($B13=1,1,0)</f>
        <v/>
      </c>
      <c r="E13" s="6">
        <f>IF($B13=2,1,0)</f>
        <v/>
      </c>
      <c r="F13" s="6">
        <f>IF($B13=3,1,0)</f>
        <v/>
      </c>
      <c r="G13" s="5" t="n">
        <v>14.2</v>
      </c>
    </row>
    <row r="14">
      <c r="A14" s="4" t="n">
        <v>1976</v>
      </c>
      <c r="B14" s="4" t="n">
        <v>1</v>
      </c>
      <c r="C14" s="5" t="n">
        <v>284.2</v>
      </c>
      <c r="D14" s="6">
        <f>IF($B14=1,1,0)</f>
        <v/>
      </c>
      <c r="E14" s="6">
        <f>IF($B14=2,1,0)</f>
        <v/>
      </c>
      <c r="F14" s="6">
        <f>IF($B14=3,1,0)</f>
        <v/>
      </c>
      <c r="G14" s="5" t="n">
        <v>14.8</v>
      </c>
    </row>
    <row r="15">
      <c r="A15" s="4" t="n">
        <v>1976</v>
      </c>
      <c r="B15" s="4" t="n">
        <v>2</v>
      </c>
      <c r="C15" s="5" t="n">
        <v>307.6</v>
      </c>
      <c r="D15" s="6">
        <f>IF($B15=1,1,0)</f>
        <v/>
      </c>
      <c r="E15" s="6">
        <f>IF($B15=2,1,0)</f>
        <v/>
      </c>
      <c r="F15" s="6">
        <f>IF($B15=3,1,0)</f>
        <v/>
      </c>
      <c r="G15" s="5" t="n">
        <v>18.1</v>
      </c>
    </row>
    <row r="16">
      <c r="A16" s="4" t="n">
        <v>1976</v>
      </c>
      <c r="B16" s="4" t="n">
        <v>3</v>
      </c>
      <c r="C16" s="5" t="n">
        <v>301.6</v>
      </c>
      <c r="D16" s="6">
        <f>IF($B16=1,1,0)</f>
        <v/>
      </c>
      <c r="E16" s="6">
        <f>IF($B16=2,1,0)</f>
        <v/>
      </c>
      <c r="F16" s="6">
        <f>IF($B16=3,1,0)</f>
        <v/>
      </c>
      <c r="G16" s="5" t="n">
        <v>16</v>
      </c>
    </row>
    <row r="17">
      <c r="A17" s="4" t="n">
        <v>1976</v>
      </c>
      <c r="B17" s="4" t="n">
        <v>4</v>
      </c>
      <c r="C17" s="5" t="n">
        <v>309.8</v>
      </c>
      <c r="D17" s="6">
        <f>IF($B17=1,1,0)</f>
        <v/>
      </c>
      <c r="E17" s="6">
        <f>IF($B17=2,1,0)</f>
        <v/>
      </c>
      <c r="F17" s="6">
        <f>IF($B17=3,1,0)</f>
        <v/>
      </c>
      <c r="G17" s="5" t="n">
        <v>15.6</v>
      </c>
    </row>
    <row r="18">
      <c r="A18" s="4" t="n">
        <v>1977</v>
      </c>
      <c r="B18" s="4" t="n">
        <v>1</v>
      </c>
      <c r="C18" s="5" t="n">
        <v>311.5</v>
      </c>
      <c r="D18" s="6">
        <f>IF($B18=1,1,0)</f>
        <v/>
      </c>
      <c r="E18" s="6">
        <f>IF($B18=2,1,0)</f>
        <v/>
      </c>
      <c r="F18" s="6">
        <f>IF($B18=3,1,0)</f>
        <v/>
      </c>
      <c r="G18" s="5" t="n">
        <v>15.6</v>
      </c>
    </row>
    <row r="19">
      <c r="A19" s="4" t="n">
        <v>1977</v>
      </c>
      <c r="B19" s="4" t="n">
        <v>2</v>
      </c>
      <c r="C19" s="5" t="n">
        <v>338.6</v>
      </c>
      <c r="D19" s="6">
        <f>IF($B19=1,1,0)</f>
        <v/>
      </c>
      <c r="E19" s="6">
        <f>IF($B19=2,1,0)</f>
        <v/>
      </c>
      <c r="F19" s="6">
        <f>IF($B19=3,1,0)</f>
        <v/>
      </c>
      <c r="G19" s="5" t="n">
        <v>19.7</v>
      </c>
    </row>
    <row r="20">
      <c r="A20" s="4" t="n">
        <v>1977</v>
      </c>
      <c r="B20" s="4" t="n">
        <v>3</v>
      </c>
      <c r="C20" s="5" t="n">
        <v>331.7</v>
      </c>
      <c r="D20" s="6">
        <f>IF($B20=1,1,0)</f>
        <v/>
      </c>
      <c r="E20" s="6">
        <f>IF($B20=2,1,0)</f>
        <v/>
      </c>
      <c r="F20" s="6">
        <f>IF($B20=3,1,0)</f>
        <v/>
      </c>
      <c r="G20" s="5" t="n">
        <v>16.7</v>
      </c>
    </row>
    <row r="21">
      <c r="A21" s="4" t="n">
        <v>1977</v>
      </c>
      <c r="B21" s="4" t="n">
        <v>4</v>
      </c>
      <c r="C21" s="5" t="n">
        <v>346.2</v>
      </c>
      <c r="D21" s="6">
        <f>IF($B21=1,1,0)</f>
        <v/>
      </c>
      <c r="E21" s="6">
        <f>IF($B21=2,1,0)</f>
        <v/>
      </c>
      <c r="F21" s="6">
        <f>IF($B21=3,1,0)</f>
        <v/>
      </c>
      <c r="G21" s="5" t="n">
        <v>18.4</v>
      </c>
    </row>
    <row r="22">
      <c r="A22" s="4" t="n">
        <v>1978</v>
      </c>
      <c r="B22" s="4" t="n">
        <v>1</v>
      </c>
      <c r="C22" s="5" t="n">
        <v>340.2</v>
      </c>
      <c r="D22" s="6">
        <f>IF($B22=1,1,0)</f>
        <v/>
      </c>
      <c r="E22" s="6">
        <f>IF($B22=2,1,0)</f>
        <v/>
      </c>
      <c r="F22" s="6">
        <f>IF($B22=3,1,0)</f>
        <v/>
      </c>
      <c r="G22" s="5" t="n">
        <v>16</v>
      </c>
    </row>
    <row r="23">
      <c r="A23" s="4" t="n">
        <v>1978</v>
      </c>
      <c r="B23" s="4" t="n">
        <v>2</v>
      </c>
      <c r="C23" s="5" t="n">
        <v>377.5</v>
      </c>
      <c r="D23" s="6">
        <f>IF($B23=1,1,0)</f>
        <v/>
      </c>
      <c r="E23" s="6">
        <f>IF($B23=2,1,0)</f>
        <v/>
      </c>
      <c r="F23" s="6">
        <f>IF($B23=3,1,0)</f>
        <v/>
      </c>
      <c r="G23" s="5" t="n">
        <v>22.1</v>
      </c>
    </row>
    <row r="24">
      <c r="A24" s="4" t="n">
        <v>1978</v>
      </c>
      <c r="B24" s="4" t="n">
        <v>3</v>
      </c>
      <c r="C24" s="5" t="n">
        <v>376.9</v>
      </c>
      <c r="D24" s="6">
        <f>IF($B24=1,1,0)</f>
        <v/>
      </c>
      <c r="E24" s="6">
        <f>IF($B24=2,1,0)</f>
        <v/>
      </c>
      <c r="F24" s="6">
        <f>IF($B24=3,1,0)</f>
        <v/>
      </c>
      <c r="G24" s="5" t="n">
        <v>20.4</v>
      </c>
    </row>
    <row r="25">
      <c r="A25" s="4" t="n">
        <v>1978</v>
      </c>
      <c r="B25" s="4" t="n">
        <v>4</v>
      </c>
      <c r="C25" s="5" t="n">
        <v>401.8</v>
      </c>
      <c r="D25" s="6">
        <f>IF($B25=1,1,0)</f>
        <v/>
      </c>
      <c r="E25" s="6">
        <f>IF($B25=2,1,0)</f>
        <v/>
      </c>
      <c r="F25" s="6">
        <f>IF($B25=3,1,0)</f>
        <v/>
      </c>
      <c r="G25" s="5" t="n">
        <v>22.6</v>
      </c>
    </row>
    <row r="26">
      <c r="A26" s="4" t="n">
        <v>1979</v>
      </c>
      <c r="B26" s="4" t="n">
        <v>1</v>
      </c>
      <c r="C26" s="5" t="n">
        <v>406.2</v>
      </c>
      <c r="D26" s="6">
        <f>IF($B26=1,1,0)</f>
        <v/>
      </c>
      <c r="E26" s="6">
        <f>IF($B26=2,1,0)</f>
        <v/>
      </c>
      <c r="F26" s="6">
        <f>IF($B26=3,1,0)</f>
        <v/>
      </c>
      <c r="G26" s="5" t="n">
        <v>22.6</v>
      </c>
    </row>
    <row r="27">
      <c r="A27" s="4" t="n">
        <v>1979</v>
      </c>
      <c r="B27" s="4" t="n">
        <v>2</v>
      </c>
      <c r="C27" s="5" t="n">
        <v>436.4</v>
      </c>
      <c r="D27" s="6">
        <f>IF($B27=1,1,0)</f>
        <v/>
      </c>
      <c r="E27" s="6">
        <f>IF($B27=2,1,0)</f>
        <v/>
      </c>
      <c r="F27" s="6">
        <f>IF($B27=3,1,0)</f>
        <v/>
      </c>
      <c r="G27" s="5" t="n">
        <v>26.8</v>
      </c>
    </row>
    <row r="28">
      <c r="A28" s="4" t="n">
        <v>1979</v>
      </c>
      <c r="B28" s="4" t="n">
        <v>3</v>
      </c>
      <c r="C28" s="5" t="n">
        <v>437.5</v>
      </c>
      <c r="D28" s="6">
        <f>IF($B28=1,1,0)</f>
        <v/>
      </c>
      <c r="E28" s="6">
        <f>IF($B28=2,1,0)</f>
        <v/>
      </c>
      <c r="F28" s="6">
        <f>IF($B28=3,1,0)</f>
        <v/>
      </c>
      <c r="G28" s="5" t="n">
        <v>24.8</v>
      </c>
    </row>
    <row r="29"/>
    <row r="30">
      <c r="A30" s="2" t="inlineStr">
        <is>
          <t>Источник данных: D. Salvatore, Statistics and Econometrics, McGraw-Hill, 1982 (таблица из условия задачи).</t>
        </is>
      </c>
    </row>
    <row r="31">
      <c r="A31" s="2" t="inlineStr">
        <is>
          <t>Фиктивных переменных три, а не четыре: четвёртый квартал — базовый. Если добавить QRT4, их сумма совпадёт со столбцом единиц (ловушка дамми).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</cols>
  <sheetData>
    <row r="1">
      <c r="A1" s="1" t="inlineStr">
        <is>
          <t>1) Регрессия INC на VOL</t>
        </is>
      </c>
    </row>
    <row r="2">
      <c r="A2" s="2" t="inlineStr">
        <is>
          <t>Оценки через суммы в отклонениях, как в парной регрессии.</t>
        </is>
      </c>
    </row>
    <row r="3"/>
    <row r="4">
      <c r="A4" s="7" t="inlineStr">
        <is>
          <t>n</t>
        </is>
      </c>
      <c r="B4" s="8">
        <f>COUNT(Данные!$G$6:$G$28)</f>
        <v/>
      </c>
    </row>
    <row r="5">
      <c r="A5" s="7" t="inlineStr">
        <is>
          <t>VOL среднее</t>
        </is>
      </c>
      <c r="B5" s="9">
        <f>AVERAGE(Данные!$C$6:$C$28)</f>
        <v/>
      </c>
    </row>
    <row r="6">
      <c r="A6" s="7" t="inlineStr">
        <is>
          <t>INC среднее</t>
        </is>
      </c>
      <c r="B6" s="9">
        <f>AVERAGE(Данные!$G$6:$G$28)</f>
        <v/>
      </c>
    </row>
    <row r="7">
      <c r="A7" s="7" t="inlineStr">
        <is>
          <t>Σ(VOL − среднее)²</t>
        </is>
      </c>
      <c r="B7" s="10">
        <f>DEVSQ(Данные!$C$6:$C$28)</f>
        <v/>
      </c>
    </row>
    <row r="8">
      <c r="A8" s="7" t="inlineStr">
        <is>
          <t>Σ(VOL − ·)(INC − ·)</t>
        </is>
      </c>
      <c r="B8" s="10">
        <f>SUMPRODUCT(Данные!$C$6:$C$28-B5,Данные!$G$6:$G$28-B6)</f>
        <v/>
      </c>
    </row>
    <row r="9">
      <c r="A9" s="7" t="inlineStr">
        <is>
          <t>TSS</t>
        </is>
      </c>
      <c r="B9" s="10">
        <f>DEVSQ(Данные!$G$6:$G$28)</f>
        <v/>
      </c>
    </row>
    <row r="10">
      <c r="A10" s="7" t="inlineStr">
        <is>
          <t>β̂ при VOL</t>
        </is>
      </c>
      <c r="B10" s="11">
        <f>B8/B7</f>
        <v/>
      </c>
    </row>
    <row r="11">
      <c r="A11" s="7" t="inlineStr">
        <is>
          <t>α̂</t>
        </is>
      </c>
      <c r="B11" s="12">
        <f>B6-B10*B5</f>
        <v/>
      </c>
    </row>
    <row r="12">
      <c r="A12" s="7" t="inlineStr">
        <is>
          <t>ESS</t>
        </is>
      </c>
      <c r="B12" s="13">
        <f>SUMPRODUCT((Данные!$G$6:$G$28-B11-B10*Данные!$C$6:$C$28)^2)</f>
        <v/>
      </c>
    </row>
    <row r="13">
      <c r="A13" s="7" t="inlineStr">
        <is>
          <t>R²</t>
        </is>
      </c>
      <c r="B13" s="11">
        <f>1-B12/B9</f>
        <v/>
      </c>
    </row>
    <row r="14">
      <c r="A14" s="7" t="inlineStr">
        <is>
          <t>n − k</t>
        </is>
      </c>
      <c r="B14" s="8">
        <f>B4-2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14" customWidth="1" min="4" max="4"/>
    <col width="14" customWidth="1" min="5" max="5"/>
  </cols>
  <sheetData>
    <row r="1">
      <c r="A1" s="1" t="inlineStr">
        <is>
          <t>2) Регрессия INC на VOL, QRT1, QRT2, QRT3</t>
        </is>
      </c>
    </row>
    <row r="2">
      <c r="A2" s="2" t="inlineStr">
        <is>
          <t>Оценивается функцией ЛИНЕЙН по четырём столбцам. Коэффициенты она выдаёт в обратном порядке столбцов, поэтому нужный достаётся через ИНДЕКС.</t>
        </is>
      </c>
    </row>
    <row r="3"/>
    <row r="4"/>
    <row r="5">
      <c r="A5" s="3" t="inlineStr">
        <is>
          <t>Переменная</t>
        </is>
      </c>
      <c r="B5" s="3" t="inlineStr">
        <is>
          <t>Коэффициент</t>
        </is>
      </c>
      <c r="C5" s="3" t="inlineStr">
        <is>
          <t>Ст. ошибка</t>
        </is>
      </c>
      <c r="D5" s="3" t="inlineStr">
        <is>
          <t>t-статистика</t>
        </is>
      </c>
      <c r="E5" s="3" t="inlineStr">
        <is>
          <t>P-значение</t>
        </is>
      </c>
    </row>
    <row r="6">
      <c r="A6" s="14" t="inlineStr">
        <is>
          <t>const</t>
        </is>
      </c>
      <c r="B6" s="15">
        <f>INDEX(LINEST(Данные!$G$6:$G$28,Данные!$C$6:$F$28,TRUE,TRUE),1,5)</f>
        <v/>
      </c>
      <c r="C6" s="16">
        <f>INDEX(LINEST(Данные!$G$6:$G$28,Данные!$C$6:$F$28,TRUE,TRUE),2,5)</f>
        <v/>
      </c>
      <c r="D6" s="16">
        <f>B6/C6</f>
        <v/>
      </c>
      <c r="E6" s="17">
        <f>TDIST(ABS(D6),$B$13,2)</f>
        <v/>
      </c>
    </row>
    <row r="7">
      <c r="A7" s="14" t="inlineStr">
        <is>
          <t>VOL</t>
        </is>
      </c>
      <c r="B7" s="15">
        <f>INDEX(LINEST(Данные!$G$6:$G$28,Данные!$C$6:$F$28,TRUE,TRUE),1,4)</f>
        <v/>
      </c>
      <c r="C7" s="16">
        <f>INDEX(LINEST(Данные!$G$6:$G$28,Данные!$C$6:$F$28,TRUE,TRUE),2,4)</f>
        <v/>
      </c>
      <c r="D7" s="16">
        <f>B7/C7</f>
        <v/>
      </c>
      <c r="E7" s="17">
        <f>TDIST(ABS(D7),$B$13,2)</f>
        <v/>
      </c>
    </row>
    <row r="8">
      <c r="A8" s="14" t="inlineStr">
        <is>
          <t>QRT1</t>
        </is>
      </c>
      <c r="B8" s="15">
        <f>INDEX(LINEST(Данные!$G$6:$G$28,Данные!$C$6:$F$28,TRUE,TRUE),1,3)</f>
        <v/>
      </c>
      <c r="C8" s="16">
        <f>INDEX(LINEST(Данные!$G$6:$G$28,Данные!$C$6:$F$28,TRUE,TRUE),2,3)</f>
        <v/>
      </c>
      <c r="D8" s="16">
        <f>B8/C8</f>
        <v/>
      </c>
      <c r="E8" s="17">
        <f>TDIST(ABS(D8),$B$13,2)</f>
        <v/>
      </c>
    </row>
    <row r="9">
      <c r="A9" s="14" t="inlineStr">
        <is>
          <t>QRT2</t>
        </is>
      </c>
      <c r="B9" s="15">
        <f>INDEX(LINEST(Данные!$G$6:$G$28,Данные!$C$6:$F$28,TRUE,TRUE),1,2)</f>
        <v/>
      </c>
      <c r="C9" s="16">
        <f>INDEX(LINEST(Данные!$G$6:$G$28,Данные!$C$6:$F$28,TRUE,TRUE),2,2)</f>
        <v/>
      </c>
      <c r="D9" s="16">
        <f>B9/C9</f>
        <v/>
      </c>
      <c r="E9" s="17">
        <f>TDIST(ABS(D9),$B$13,2)</f>
        <v/>
      </c>
    </row>
    <row r="10">
      <c r="A10" s="14" t="inlineStr">
        <is>
          <t>QRT3</t>
        </is>
      </c>
      <c r="B10" s="15">
        <f>INDEX(LINEST(Данные!$G$6:$G$28,Данные!$C$6:$F$28,TRUE,TRUE),1,1)</f>
        <v/>
      </c>
      <c r="C10" s="16">
        <f>INDEX(LINEST(Данные!$G$6:$G$28,Данные!$C$6:$F$28,TRUE,TRUE),2,1)</f>
        <v/>
      </c>
      <c r="D10" s="16">
        <f>B10/C10</f>
        <v/>
      </c>
      <c r="E10" s="17">
        <f>TDIST(ABS(D10),$B$13,2)</f>
        <v/>
      </c>
    </row>
    <row r="11"/>
    <row r="12">
      <c r="A12" s="7" t="inlineStr">
        <is>
          <t>R²</t>
        </is>
      </c>
      <c r="B12" s="11">
        <f>INDEX(LINEST(Данные!$G$6:$G$28,Данные!$C$6:$F$28,TRUE,TRUE),3,1)</f>
        <v/>
      </c>
    </row>
    <row r="13">
      <c r="A13" s="7" t="inlineStr">
        <is>
          <t>степени свободы n − k</t>
        </is>
      </c>
      <c r="B13" s="8">
        <f>INDEX(LINEST(Данные!$G$6:$G$28,Данные!$C$6:$F$28,TRUE,TRUE),4,2)</f>
        <v/>
      </c>
    </row>
    <row r="14">
      <c r="A14" s="7" t="inlineStr">
        <is>
          <t>ESS без ограничения</t>
        </is>
      </c>
      <c r="B14" s="13">
        <f>INDEX(LINEST(Данные!$G$6:$G$28,Данные!$C$6:$F$28,TRUE,TRUE),5,2)</f>
        <v/>
      </c>
    </row>
    <row r="15"/>
    <row r="16">
      <c r="A16" s="2" t="inlineStr">
        <is>
          <t>По отдельности значим только коэффициент при QRT2. Но вопрос «есть ли сезонность» — это совместная гипотеза, её проверяет F-тест на листе «4) Тесты».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4" customWidth="1" min="4" max="4"/>
    <col width="22" customWidth="1" min="5" max="5"/>
    <col width="14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3) Регрессия INC на VOL и QRT2</t>
        </is>
      </c>
    </row>
    <row r="2">
      <c r="A2" s="2" t="inlineStr">
        <is>
          <t>ЛИНЕЙН требует соседние столбцы, поэтому VOL и QRT2 копируются сюда формулами.</t>
        </is>
      </c>
    </row>
    <row r="3"/>
    <row r="4">
      <c r="A4" s="3" t="inlineStr">
        <is>
          <t>VOL</t>
        </is>
      </c>
      <c r="B4" s="3" t="inlineStr">
        <is>
          <t>QRT2</t>
        </is>
      </c>
      <c r="C4" s="3" t="inlineStr">
        <is>
          <t>INC</t>
        </is>
      </c>
    </row>
    <row r="5">
      <c r="A5" s="18">
        <f>Данные!C6</f>
        <v/>
      </c>
      <c r="B5" s="19">
        <f>Данные!E6</f>
        <v/>
      </c>
      <c r="C5" s="18">
        <f>Данные!G6</f>
        <v/>
      </c>
    </row>
    <row r="6">
      <c r="A6" s="18">
        <f>Данные!C7</f>
        <v/>
      </c>
      <c r="B6" s="19">
        <f>Данные!E7</f>
        <v/>
      </c>
      <c r="C6" s="18">
        <f>Данные!G7</f>
        <v/>
      </c>
    </row>
    <row r="7">
      <c r="A7" s="18">
        <f>Данные!C8</f>
        <v/>
      </c>
      <c r="B7" s="19">
        <f>Данные!E8</f>
        <v/>
      </c>
      <c r="C7" s="18">
        <f>Данные!G8</f>
        <v/>
      </c>
    </row>
    <row r="8">
      <c r="A8" s="18">
        <f>Данные!C9</f>
        <v/>
      </c>
      <c r="B8" s="19">
        <f>Данные!E9</f>
        <v/>
      </c>
      <c r="C8" s="18">
        <f>Данные!G9</f>
        <v/>
      </c>
    </row>
    <row r="9">
      <c r="A9" s="18">
        <f>Данные!C10</f>
        <v/>
      </c>
      <c r="B9" s="19">
        <f>Данные!E10</f>
        <v/>
      </c>
      <c r="C9" s="18">
        <f>Данные!G10</f>
        <v/>
      </c>
    </row>
    <row r="10">
      <c r="A10" s="18">
        <f>Данные!C11</f>
        <v/>
      </c>
      <c r="B10" s="19">
        <f>Данные!E11</f>
        <v/>
      </c>
      <c r="C10" s="18">
        <f>Данные!G11</f>
        <v/>
      </c>
    </row>
    <row r="11">
      <c r="A11" s="18">
        <f>Данные!C12</f>
        <v/>
      </c>
      <c r="B11" s="19">
        <f>Данные!E12</f>
        <v/>
      </c>
      <c r="C11" s="18">
        <f>Данные!G12</f>
        <v/>
      </c>
    </row>
    <row r="12">
      <c r="A12" s="18">
        <f>Данные!C13</f>
        <v/>
      </c>
      <c r="B12" s="19">
        <f>Данные!E13</f>
        <v/>
      </c>
      <c r="C12" s="18">
        <f>Данные!G13</f>
        <v/>
      </c>
    </row>
    <row r="13">
      <c r="A13" s="18">
        <f>Данные!C14</f>
        <v/>
      </c>
      <c r="B13" s="19">
        <f>Данные!E14</f>
        <v/>
      </c>
      <c r="C13" s="18">
        <f>Данные!G14</f>
        <v/>
      </c>
    </row>
    <row r="14">
      <c r="A14" s="18">
        <f>Данные!C15</f>
        <v/>
      </c>
      <c r="B14" s="19">
        <f>Данные!E15</f>
        <v/>
      </c>
      <c r="C14" s="18">
        <f>Данные!G15</f>
        <v/>
      </c>
    </row>
    <row r="15">
      <c r="A15" s="18">
        <f>Данные!C16</f>
        <v/>
      </c>
      <c r="B15" s="19">
        <f>Данные!E16</f>
        <v/>
      </c>
      <c r="C15" s="18">
        <f>Данные!G16</f>
        <v/>
      </c>
    </row>
    <row r="16">
      <c r="A16" s="18">
        <f>Данные!C17</f>
        <v/>
      </c>
      <c r="B16" s="19">
        <f>Данные!E17</f>
        <v/>
      </c>
      <c r="C16" s="18">
        <f>Данные!G17</f>
        <v/>
      </c>
    </row>
    <row r="17">
      <c r="A17" s="18">
        <f>Данные!C18</f>
        <v/>
      </c>
      <c r="B17" s="19">
        <f>Данные!E18</f>
        <v/>
      </c>
      <c r="C17" s="18">
        <f>Данные!G18</f>
        <v/>
      </c>
    </row>
    <row r="18">
      <c r="A18" s="18">
        <f>Данные!C19</f>
        <v/>
      </c>
      <c r="B18" s="19">
        <f>Данные!E19</f>
        <v/>
      </c>
      <c r="C18" s="18">
        <f>Данные!G19</f>
        <v/>
      </c>
    </row>
    <row r="19">
      <c r="A19" s="18">
        <f>Данные!C20</f>
        <v/>
      </c>
      <c r="B19" s="19">
        <f>Данные!E20</f>
        <v/>
      </c>
      <c r="C19" s="18">
        <f>Данные!G20</f>
        <v/>
      </c>
    </row>
    <row r="20">
      <c r="A20" s="18">
        <f>Данные!C21</f>
        <v/>
      </c>
      <c r="B20" s="19">
        <f>Данные!E21</f>
        <v/>
      </c>
      <c r="C20" s="18">
        <f>Данные!G21</f>
        <v/>
      </c>
    </row>
    <row r="21">
      <c r="A21" s="18">
        <f>Данные!C22</f>
        <v/>
      </c>
      <c r="B21" s="19">
        <f>Данные!E22</f>
        <v/>
      </c>
      <c r="C21" s="18">
        <f>Данные!G22</f>
        <v/>
      </c>
    </row>
    <row r="22">
      <c r="A22" s="18">
        <f>Данные!C23</f>
        <v/>
      </c>
      <c r="B22" s="19">
        <f>Данные!E23</f>
        <v/>
      </c>
      <c r="C22" s="18">
        <f>Данные!G23</f>
        <v/>
      </c>
    </row>
    <row r="23">
      <c r="A23" s="18">
        <f>Данные!C24</f>
        <v/>
      </c>
      <c r="B23" s="19">
        <f>Данные!E24</f>
        <v/>
      </c>
      <c r="C23" s="18">
        <f>Данные!G24</f>
        <v/>
      </c>
    </row>
    <row r="24">
      <c r="A24" s="18">
        <f>Данные!C25</f>
        <v/>
      </c>
      <c r="B24" s="19">
        <f>Данные!E25</f>
        <v/>
      </c>
      <c r="C24" s="18">
        <f>Данные!G25</f>
        <v/>
      </c>
    </row>
    <row r="25">
      <c r="A25" s="18">
        <f>Данные!C26</f>
        <v/>
      </c>
      <c r="B25" s="19">
        <f>Данные!E26</f>
        <v/>
      </c>
      <c r="C25" s="18">
        <f>Данные!G26</f>
        <v/>
      </c>
    </row>
    <row r="26">
      <c r="A26" s="18">
        <f>Данные!C27</f>
        <v/>
      </c>
      <c r="B26" s="19">
        <f>Данные!E27</f>
        <v/>
      </c>
      <c r="C26" s="18">
        <f>Данные!G27</f>
        <v/>
      </c>
    </row>
    <row r="27">
      <c r="A27" s="18">
        <f>Данные!C28</f>
        <v/>
      </c>
      <c r="B27" s="19">
        <f>Данные!E28</f>
        <v/>
      </c>
      <c r="C27" s="18">
        <f>Данные!G28</f>
        <v/>
      </c>
    </row>
    <row r="28"/>
    <row r="29">
      <c r="E29" s="3" t="inlineStr">
        <is>
          <t>Переменная</t>
        </is>
      </c>
      <c r="F29" s="3" t="inlineStr">
        <is>
          <t>Коэффициент</t>
        </is>
      </c>
      <c r="G29" s="3" t="inlineStr">
        <is>
          <t>Ст. ошибка</t>
        </is>
      </c>
      <c r="H29" s="3" t="inlineStr">
        <is>
          <t>t-статистика</t>
        </is>
      </c>
      <c r="I29" s="3" t="inlineStr">
        <is>
          <t>P-значение</t>
        </is>
      </c>
    </row>
    <row r="30">
      <c r="E30" s="14" t="inlineStr">
        <is>
          <t>const</t>
        </is>
      </c>
      <c r="F30" s="15">
        <f>INDEX(LINEST(C5:C27,A5:B27,TRUE,TRUE),1,3)</f>
        <v/>
      </c>
      <c r="G30" s="16">
        <f>INDEX(LINEST(C5:C27,A5:B27,TRUE,TRUE),2,3)</f>
        <v/>
      </c>
      <c r="H30" s="16">
        <f>F30/G30</f>
        <v/>
      </c>
      <c r="I30" s="17">
        <f>TDIST(ABS(H30),$F$35,2)</f>
        <v/>
      </c>
    </row>
    <row r="31">
      <c r="E31" s="14" t="inlineStr">
        <is>
          <t>VOL</t>
        </is>
      </c>
      <c r="F31" s="15">
        <f>INDEX(LINEST(C5:C27,A5:B27,TRUE,TRUE),1,2)</f>
        <v/>
      </c>
      <c r="G31" s="16">
        <f>INDEX(LINEST(C5:C27,A5:B27,TRUE,TRUE),2,2)</f>
        <v/>
      </c>
      <c r="H31" s="16">
        <f>F31/G31</f>
        <v/>
      </c>
      <c r="I31" s="17">
        <f>TDIST(ABS(H31),$F$35,2)</f>
        <v/>
      </c>
    </row>
    <row r="32">
      <c r="E32" s="14" t="inlineStr">
        <is>
          <t>QRT2</t>
        </is>
      </c>
      <c r="F32" s="15">
        <f>INDEX(LINEST(C5:C27,A5:B27,TRUE,TRUE),1,1)</f>
        <v/>
      </c>
      <c r="G32" s="16">
        <f>INDEX(LINEST(C5:C27,A5:B27,TRUE,TRUE),2,1)</f>
        <v/>
      </c>
      <c r="H32" s="16">
        <f>F32/G32</f>
        <v/>
      </c>
      <c r="I32" s="17">
        <f>TDIST(ABS(H32),$F$35,2)</f>
        <v/>
      </c>
    </row>
    <row r="33"/>
    <row r="34">
      <c r="E34" s="7" t="inlineStr">
        <is>
          <t>R²</t>
        </is>
      </c>
      <c r="F34" s="20">
        <f>INDEX(LINEST(C5:C27,A5:B27,TRUE,TRUE),3,1)</f>
        <v/>
      </c>
    </row>
    <row r="35">
      <c r="E35" s="7" t="inlineStr">
        <is>
          <t>степени свободы</t>
        </is>
      </c>
      <c r="F35" s="21">
        <f>INDEX(LINEST(C5:C27,A5:B27,TRUE,TRUE),4,2)</f>
        <v/>
      </c>
    </row>
    <row r="36">
      <c r="E36" s="7" t="inlineStr">
        <is>
          <t>ESS с ограничением</t>
        </is>
      </c>
      <c r="F36" s="22">
        <f>INDEX(LINEST(C5:C27,A5:B27,TRUE,TRUE),5,2)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</cols>
  <sheetData>
    <row r="1">
      <c r="A1" s="1" t="inlineStr">
        <is>
          <t>4) F-тесты: есть ли сезонность и какие кварталы отличаются</t>
        </is>
      </c>
    </row>
    <row r="2">
      <c r="A2" s="2" t="inlineStr">
        <is>
          <t>F = ((ESS с ограничением − ESS без ограничения)/q) / (ESS без ограничения/(n − k)).</t>
        </is>
      </c>
    </row>
    <row r="3"/>
    <row r="4">
      <c r="A4" s="23" t="inlineStr">
        <is>
          <t>Тест 1. H₀: сезонности нет (все три коэффициента равны нулю)</t>
        </is>
      </c>
    </row>
    <row r="5">
      <c r="A5" s="7" t="inlineStr">
        <is>
          <t>ESS с ограничением (только VOL)</t>
        </is>
      </c>
      <c r="B5" s="24">
        <f>'1) Без сезонности'!B12</f>
        <v/>
      </c>
    </row>
    <row r="6">
      <c r="A6" s="7" t="inlineStr">
        <is>
          <t>ESS без ограничения (с дамми)</t>
        </is>
      </c>
      <c r="B6" s="24">
        <f>'2) С сезонностью'!B14</f>
        <v/>
      </c>
    </row>
    <row r="7">
      <c r="A7" s="7" t="inlineStr">
        <is>
          <t>q — число ограничений</t>
        </is>
      </c>
      <c r="B7" s="4" t="n">
        <v>3</v>
      </c>
      <c r="C7" s="25" t="inlineStr">
        <is>
          <t>убираем QRT1, QRT2, QRT3</t>
        </is>
      </c>
    </row>
    <row r="8">
      <c r="A8" s="7" t="inlineStr">
        <is>
          <t>n − k</t>
        </is>
      </c>
      <c r="B8" s="19">
        <f>'2) С сезонностью'!B13</f>
        <v/>
      </c>
    </row>
    <row r="9">
      <c r="A9" s="7" t="inlineStr">
        <is>
          <t>F</t>
        </is>
      </c>
      <c r="B9" s="12">
        <f>((B5-B6)/B7)/(B6/B8)</f>
        <v/>
      </c>
    </row>
    <row r="10">
      <c r="A10" s="7" t="inlineStr">
        <is>
          <t>F критическое (5 %)</t>
        </is>
      </c>
      <c r="B10" s="9">
        <f>FINV(0.05,B7,B8)</f>
        <v/>
      </c>
      <c r="C10" s="25" t="inlineStr">
        <is>
          <t>=FРАСПОБР(0,05; q; n − k)</t>
        </is>
      </c>
    </row>
    <row r="11">
      <c r="A11" s="7" t="inlineStr">
        <is>
          <t>P-значение</t>
        </is>
      </c>
      <c r="B11" s="11">
        <f>FDIST(B9,B7,B8)</f>
        <v/>
      </c>
      <c r="C11" s="25" t="inlineStr">
        <is>
          <t>=FРАСП(F; q; n − k)</t>
        </is>
      </c>
    </row>
    <row r="12">
      <c r="A12" s="7" t="inlineStr">
        <is>
          <t>Вывод</t>
        </is>
      </c>
      <c r="B12" s="26">
        <f>IF(B9&gt;B10,"сезонность есть","сезонности нет")</f>
        <v/>
      </c>
    </row>
    <row r="13"/>
    <row r="14">
      <c r="A14" s="23" t="inlineStr">
        <is>
          <t>Тест 2. H₀: первый и третий кварталы не отличаются от базового четвёртого</t>
        </is>
      </c>
    </row>
    <row r="15">
      <c r="A15" s="7" t="inlineStr">
        <is>
          <t>ESS с ограничением (VOL и QRT2)</t>
        </is>
      </c>
      <c r="B15" s="24">
        <f>'3) Только QRT2'!F36</f>
        <v/>
      </c>
    </row>
    <row r="16">
      <c r="A16" s="7" t="inlineStr">
        <is>
          <t>ESS без ограничения (с дамми)</t>
        </is>
      </c>
      <c r="B16" s="24">
        <f>'2) С сезонностью'!B14</f>
        <v/>
      </c>
    </row>
    <row r="17">
      <c r="A17" s="7" t="inlineStr">
        <is>
          <t>q — число ограничений</t>
        </is>
      </c>
      <c r="B17" s="4" t="n">
        <v>2</v>
      </c>
      <c r="C17" s="25" t="inlineStr">
        <is>
          <t>убираем QRT1 и QRT3</t>
        </is>
      </c>
    </row>
    <row r="18">
      <c r="A18" s="7" t="inlineStr">
        <is>
          <t>n − k</t>
        </is>
      </c>
      <c r="B18" s="19">
        <f>'2) С сезонностью'!B13</f>
        <v/>
      </c>
    </row>
    <row r="19">
      <c r="A19" s="7" t="inlineStr">
        <is>
          <t>F</t>
        </is>
      </c>
      <c r="B19" s="12">
        <f>((B15-B16)/B17)/(B16/B18)</f>
        <v/>
      </c>
    </row>
    <row r="20">
      <c r="A20" s="7" t="inlineStr">
        <is>
          <t>F критическое (5 %)</t>
        </is>
      </c>
      <c r="B20" s="9">
        <f>FINV(0.05,B17,B18)</f>
        <v/>
      </c>
    </row>
    <row r="21">
      <c r="A21" s="7" t="inlineStr">
        <is>
          <t>P-значение</t>
        </is>
      </c>
      <c r="B21" s="11">
        <f>FDIST(B19,B17,B18)</f>
        <v/>
      </c>
    </row>
    <row r="22">
      <c r="A22" s="7" t="inlineStr">
        <is>
          <t>Вывод</t>
        </is>
      </c>
      <c r="B22" s="26">
        <f>IF(B19&gt;B20,"QRT1 и QRT3 нужны","QRT1 и QRT3 можно убрать")</f>
        <v/>
      </c>
    </row>
    <row r="23"/>
    <row r="24">
      <c r="A24" s="2" t="inlineStr">
        <is>
          <t>Итог: сезонность есть, но сводится ко второму кварталу — при том же объёме продаж доход во II квартале в среднем выше.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2026-09-21T15:55:05Z</dcterms:created>
  <dcterms:modified xmlns:dcterms="http://purl.org/dc/terms/" xmlns:xsi="http://www.w3.org/2001/XMLSchema-instance" xsi:type="dcterms:W3CDTF">2026-09-27T21:56:21Z</dcterms:modified>
</cp:coreProperties>
</file>