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1) Все годы" sheetId="2" state="visible" r:id="rId2"/>
    <sheet xmlns:r="http://schemas.openxmlformats.org/officeDocument/2006/relationships" name="2) Мир и война" sheetId="3" state="visible" r:id="rId3"/>
    <sheet xmlns:r="http://schemas.openxmlformats.org/officeDocument/2006/relationships" name="3) С дамми" sheetId="4" state="visible" r:id="rId4"/>
    <sheet xmlns:r="http://schemas.openxmlformats.org/officeDocument/2006/relationships" name="4) Тест Чоу" sheetId="5" state="visible" r:id="rId5"/>
    <sheet xmlns:r="http://schemas.openxmlformats.org/officeDocument/2006/relationships" name="5) Для пакета анализ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0.00000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</font>
    <font>
      <name val="Arial"/>
      <color rgb="000000FF"/>
    </font>
    <font>
      <name val="Arial"/>
    </font>
    <font>
      <name val="Arial"/>
      <color rgb="00595959"/>
      <sz val="9"/>
    </font>
    <font>
      <name val="Arial"/>
      <color rgb="00008000"/>
    </font>
    <font>
      <name val="Arial"/>
      <b val="1"/>
      <color rgb="001F4E79"/>
      <sz val="11"/>
    </font>
    <font>
      <name val="Arial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" fontId="4" fillId="0" borderId="1" pivotButton="0" quotePrefix="0" xfId="0"/>
    <xf numFmtId="164" fontId="4" fillId="0" borderId="1" pivotButton="0" quotePrefix="0" xfId="0"/>
    <xf numFmtId="1" fontId="5" fillId="0" borderId="1" pivotButton="0" quotePrefix="0" xfId="0"/>
    <xf numFmtId="164" fontId="5" fillId="0" borderId="1" pivotButton="0" quotePrefix="0" xfId="0"/>
    <xf numFmtId="0" fontId="3" fillId="0" borderId="0" pivotButton="0" quotePrefix="0" xfId="0"/>
    <xf numFmtId="1" fontId="9" fillId="0" borderId="1" pivotButton="0" quotePrefix="0" xfId="0"/>
    <xf numFmtId="0" fontId="6" fillId="0" borderId="0" pivotButton="0" quotePrefix="0" xfId="0"/>
    <xf numFmtId="165" fontId="9" fillId="0" borderId="1" pivotButton="0" quotePrefix="0" xfId="0"/>
    <xf numFmtId="2" fontId="9" fillId="0" borderId="1" pivotButton="0" quotePrefix="0" xfId="0"/>
    <xf numFmtId="165" fontId="9" fillId="3" borderId="1" pivotButton="0" quotePrefix="0" xfId="0"/>
    <xf numFmtId="1" fontId="7" fillId="0" borderId="1" pivotButton="0" quotePrefix="0" xfId="0"/>
    <xf numFmtId="164" fontId="7" fillId="0" borderId="1" pivotButton="0" quotePrefix="0" xfId="0"/>
    <xf numFmtId="2" fontId="5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2" fontId="9" fillId="3" borderId="1" pivotButton="0" quotePrefix="0" xfId="0"/>
    <xf numFmtId="166" fontId="9" fillId="3" borderId="1" pivotButton="0" quotePrefix="0" xfId="0"/>
    <xf numFmtId="166" fontId="9" fillId="0" borderId="1" pivotButton="0" quotePrefix="0" xfId="0"/>
    <xf numFmtId="0" fontId="8" fillId="0" borderId="0" pivotButton="0" quotePrefix="0" xfId="0"/>
    <xf numFmtId="165" fontId="5" fillId="0" borderId="1" pivotButton="0" quotePrefix="0" xfId="0"/>
    <xf numFmtId="165" fontId="5" fillId="3" borderId="1" pivotButton="0" quotePrefix="0" xfId="0"/>
    <xf numFmtId="2" fontId="5" fillId="3" borderId="1" pivotButton="0" quotePrefix="0" xfId="0"/>
    <xf numFmtId="166" fontId="5" fillId="3" borderId="1" pivotButton="0" quotePrefix="0" xfId="0"/>
    <xf numFmtId="166" fontId="5" fillId="0" borderId="1" pivotButton="0" quotePrefix="0" xfId="0"/>
    <xf numFmtId="2" fontId="7" fillId="4" borderId="1" pivotButton="0" quotePrefix="0" xfId="0"/>
    <xf numFmtId="167" fontId="9" fillId="4" borderId="1" pivotButton="0" quotePrefix="0" xfId="0"/>
    <xf numFmtId="2" fontId="7" fillId="0" borderId="1" pivotButton="0" quotePrefix="0" xfId="0"/>
    <xf numFmtId="167" fontId="9" fillId="3" borderId="1" pivotButton="0" quotePrefix="0" xfId="0"/>
    <xf numFmtId="0" fontId="9" fillId="3" borderId="1" pivotButton="0" quotePrefix="0" xfId="0"/>
    <xf numFmtId="0" fontId="3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Задача 4.14. Инвестиции и ВВП США, 1939–1954</t>
        </is>
      </c>
    </row>
    <row r="2">
      <c r="A2" s="2" t="inlineStr">
        <is>
          <t>Синий шрифт — исходные данные из условия; чёрный — формулы; зелёный — ссылки на другие листы.</t>
        </is>
      </c>
    </row>
    <row r="3">
      <c r="A3" s="2" t="inlineStr">
        <is>
          <t>Вопрос: изменилась ли зависимость инвестиций от ВВП во время войны (1942–1945) по сравнению с миром.</t>
        </is>
      </c>
    </row>
    <row r="4"/>
    <row r="5">
      <c r="A5" s="3" t="inlineStr">
        <is>
          <t>Год</t>
        </is>
      </c>
      <c r="B5" s="3" t="inlineStr">
        <is>
          <t>y — инвестиции</t>
        </is>
      </c>
      <c r="C5" s="3" t="inlineStr">
        <is>
          <t>x — ВВП</t>
        </is>
      </c>
      <c r="D5" s="3" t="inlineStr">
        <is>
          <t>D — война</t>
        </is>
      </c>
      <c r="E5" s="3" t="inlineStr">
        <is>
          <t>D · x</t>
        </is>
      </c>
    </row>
    <row r="6">
      <c r="A6" s="4" t="n">
        <v>1939</v>
      </c>
      <c r="B6" s="5" t="n">
        <v>9.300000000000001</v>
      </c>
      <c r="C6" s="5" t="n">
        <v>90.8</v>
      </c>
      <c r="D6" s="6">
        <f>IF(AND(A6&gt;=1942,A6&lt;=1945),1,0)</f>
        <v/>
      </c>
      <c r="E6" s="7">
        <f>D6*C6</f>
        <v/>
      </c>
    </row>
    <row r="7">
      <c r="A7" s="4" t="n">
        <v>1940</v>
      </c>
      <c r="B7" s="5" t="n">
        <v>13.1</v>
      </c>
      <c r="C7" s="5" t="n">
        <v>100</v>
      </c>
      <c r="D7" s="6">
        <f>IF(AND(A7&gt;=1942,A7&lt;=1945),1,0)</f>
        <v/>
      </c>
      <c r="E7" s="7">
        <f>D7*C7</f>
        <v/>
      </c>
    </row>
    <row r="8">
      <c r="A8" s="4" t="n">
        <v>1941</v>
      </c>
      <c r="B8" s="5" t="n">
        <v>17.9</v>
      </c>
      <c r="C8" s="5" t="n">
        <v>124.9</v>
      </c>
      <c r="D8" s="6">
        <f>IF(AND(A8&gt;=1942,A8&lt;=1945),1,0)</f>
        <v/>
      </c>
      <c r="E8" s="7">
        <f>D8*C8</f>
        <v/>
      </c>
    </row>
    <row r="9">
      <c r="A9" s="4" t="n">
        <v>1942</v>
      </c>
      <c r="B9" s="5" t="n">
        <v>9.9</v>
      </c>
      <c r="C9" s="5" t="n">
        <v>158.3</v>
      </c>
      <c r="D9" s="6">
        <f>IF(AND(A9&gt;=1942,A9&lt;=1945),1,0)</f>
        <v/>
      </c>
      <c r="E9" s="7">
        <f>D9*C9</f>
        <v/>
      </c>
    </row>
    <row r="10">
      <c r="A10" s="4" t="n">
        <v>1943</v>
      </c>
      <c r="B10" s="5" t="n">
        <v>5.8</v>
      </c>
      <c r="C10" s="5" t="n">
        <v>192</v>
      </c>
      <c r="D10" s="6">
        <f>IF(AND(A10&gt;=1942,A10&lt;=1945),1,0)</f>
        <v/>
      </c>
      <c r="E10" s="7">
        <f>D10*C10</f>
        <v/>
      </c>
    </row>
    <row r="11">
      <c r="A11" s="4" t="n">
        <v>1944</v>
      </c>
      <c r="B11" s="5" t="n">
        <v>7.2</v>
      </c>
      <c r="C11" s="5" t="n">
        <v>210.5</v>
      </c>
      <c r="D11" s="6">
        <f>IF(AND(A11&gt;=1942,A11&lt;=1945),1,0)</f>
        <v/>
      </c>
      <c r="E11" s="7">
        <f>D11*C11</f>
        <v/>
      </c>
    </row>
    <row r="12">
      <c r="A12" s="4" t="n">
        <v>1945</v>
      </c>
      <c r="B12" s="5" t="n">
        <v>10.6</v>
      </c>
      <c r="C12" s="5" t="n">
        <v>212.3</v>
      </c>
      <c r="D12" s="6">
        <f>IF(AND(A12&gt;=1942,A12&lt;=1945),1,0)</f>
        <v/>
      </c>
      <c r="E12" s="7">
        <f>D12*C12</f>
        <v/>
      </c>
    </row>
    <row r="13">
      <c r="A13" s="4" t="n">
        <v>1946</v>
      </c>
      <c r="B13" s="5" t="n">
        <v>30.7</v>
      </c>
      <c r="C13" s="5" t="n">
        <v>209.3</v>
      </c>
      <c r="D13" s="6">
        <f>IF(AND(A13&gt;=1942,A13&lt;=1945),1,0)</f>
        <v/>
      </c>
      <c r="E13" s="7">
        <f>D13*C13</f>
        <v/>
      </c>
    </row>
    <row r="14">
      <c r="A14" s="4" t="n">
        <v>1947</v>
      </c>
      <c r="B14" s="5" t="n">
        <v>34</v>
      </c>
      <c r="C14" s="5" t="n">
        <v>232.8</v>
      </c>
      <c r="D14" s="6">
        <f>IF(AND(A14&gt;=1942,A14&lt;=1945),1,0)</f>
        <v/>
      </c>
      <c r="E14" s="7">
        <f>D14*C14</f>
        <v/>
      </c>
    </row>
    <row r="15">
      <c r="A15" s="4" t="n">
        <v>1948</v>
      </c>
      <c r="B15" s="5" t="n">
        <v>45.9</v>
      </c>
      <c r="C15" s="5" t="n">
        <v>259.1</v>
      </c>
      <c r="D15" s="6">
        <f>IF(AND(A15&gt;=1942,A15&lt;=1945),1,0)</f>
        <v/>
      </c>
      <c r="E15" s="7">
        <f>D15*C15</f>
        <v/>
      </c>
    </row>
    <row r="16">
      <c r="A16" s="4" t="n">
        <v>1949</v>
      </c>
      <c r="B16" s="5" t="n">
        <v>35.3</v>
      </c>
      <c r="C16" s="5" t="n">
        <v>258</v>
      </c>
      <c r="D16" s="6">
        <f>IF(AND(A16&gt;=1942,A16&lt;=1945),1,0)</f>
        <v/>
      </c>
      <c r="E16" s="7">
        <f>D16*C16</f>
        <v/>
      </c>
    </row>
    <row r="17">
      <c r="A17" s="4" t="n">
        <v>1950</v>
      </c>
      <c r="B17" s="5" t="n">
        <v>53.8</v>
      </c>
      <c r="C17" s="5" t="n">
        <v>286.2</v>
      </c>
      <c r="D17" s="6">
        <f>IF(AND(A17&gt;=1942,A17&lt;=1945),1,0)</f>
        <v/>
      </c>
      <c r="E17" s="7">
        <f>D17*C17</f>
        <v/>
      </c>
    </row>
    <row r="18">
      <c r="A18" s="4" t="n">
        <v>1951</v>
      </c>
      <c r="B18" s="5" t="n">
        <v>59.2</v>
      </c>
      <c r="C18" s="5" t="n">
        <v>330.2</v>
      </c>
      <c r="D18" s="6">
        <f>IF(AND(A18&gt;=1942,A18&lt;=1945),1,0)</f>
        <v/>
      </c>
      <c r="E18" s="7">
        <f>D18*C18</f>
        <v/>
      </c>
    </row>
    <row r="19">
      <c r="A19" s="4" t="n">
        <v>1952</v>
      </c>
      <c r="B19" s="5" t="n">
        <v>52.1</v>
      </c>
      <c r="C19" s="5" t="n">
        <v>347.2</v>
      </c>
      <c r="D19" s="6">
        <f>IF(AND(A19&gt;=1942,A19&lt;=1945),1,0)</f>
        <v/>
      </c>
      <c r="E19" s="7">
        <f>D19*C19</f>
        <v/>
      </c>
    </row>
    <row r="20">
      <c r="A20" s="4" t="n">
        <v>1953</v>
      </c>
      <c r="B20" s="5" t="n">
        <v>53.3</v>
      </c>
      <c r="C20" s="5" t="n">
        <v>366.1</v>
      </c>
      <c r="D20" s="6">
        <f>IF(AND(A20&gt;=1942,A20&lt;=1945),1,0)</f>
        <v/>
      </c>
      <c r="E20" s="7">
        <f>D20*C20</f>
        <v/>
      </c>
    </row>
    <row r="21">
      <c r="A21" s="4" t="n">
        <v>1954</v>
      </c>
      <c r="B21" s="5" t="n">
        <v>52.7</v>
      </c>
      <c r="C21" s="5" t="n">
        <v>366.3</v>
      </c>
      <c r="D21" s="6">
        <f>IF(AND(A21&gt;=1942,A21&lt;=1945),1,0)</f>
        <v/>
      </c>
      <c r="E21" s="7">
        <f>D21*C21</f>
        <v/>
      </c>
    </row>
    <row r="22"/>
    <row r="23">
      <c r="A23" s="2" t="inlineStr">
        <is>
          <t>Источник данных: D. Salvatore, Statistics and Econometrics, McGraw-Hill, 1982 (таблица из условия задачи).</t>
        </is>
      </c>
    </row>
    <row r="24">
      <c r="A24" s="2" t="inlineStr">
        <is>
          <t>D = 1 для военных лет 1942–1945, иначе 0. Столбец D·x нужен, чтобы менялся не только свободный член, но и наклон.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1) Регрессия y на x по всем 16 наблюдениям</t>
        </is>
      </c>
    </row>
    <row r="2">
      <c r="A2" s="2" t="inlineStr">
        <is>
          <t>Оценки считаются через суммы в отклонениях: β̂ = Σ(x−x̄)(y−ȳ) / Σ(x−x̄)², α̂ = ȳ − β̂·x̄.</t>
        </is>
      </c>
    </row>
    <row r="3"/>
    <row r="4">
      <c r="A4" s="8" t="inlineStr">
        <is>
          <t>n</t>
        </is>
      </c>
      <c r="B4" s="9">
        <f>COUNT(Данные!$B$6:$B$21)</f>
        <v/>
      </c>
      <c r="C4" s="10" t="inlineStr">
        <is>
          <t>=СЧЁТ(столбец y)</t>
        </is>
      </c>
    </row>
    <row r="5">
      <c r="A5" s="8" t="inlineStr">
        <is>
          <t>x̄</t>
        </is>
      </c>
      <c r="B5" s="11">
        <f>AVERAGE(Данные!$C$6:$C$21)</f>
        <v/>
      </c>
      <c r="C5" s="10" t="inlineStr">
        <is>
          <t>=СРЗНАЧ(столбец x)</t>
        </is>
      </c>
    </row>
    <row r="6">
      <c r="A6" s="8" t="inlineStr">
        <is>
          <t>ȳ</t>
        </is>
      </c>
      <c r="B6" s="11">
        <f>AVERAGE(Данные!$B$6:$B$21)</f>
        <v/>
      </c>
      <c r="C6" s="10" t="inlineStr">
        <is>
          <t>=СРЗНАЧ(столбец y)</t>
        </is>
      </c>
    </row>
    <row r="7">
      <c r="A7" s="8" t="inlineStr">
        <is>
          <t>Σ(x − x̄)²</t>
        </is>
      </c>
      <c r="B7" s="12">
        <f>DEVSQ(Данные!$C$6:$C$21)</f>
        <v/>
      </c>
      <c r="C7" s="10" t="inlineStr">
        <is>
          <t>=КВАДРОТКЛ(столбец x)</t>
        </is>
      </c>
    </row>
    <row r="8">
      <c r="A8" s="8" t="inlineStr">
        <is>
          <t>Σ(x − x̄)(y − ȳ)</t>
        </is>
      </c>
      <c r="B8" s="12">
        <f>SUMPRODUCT(Данные!$C$6:$C$21-B5,Данные!$B$6:$B$21-B6)</f>
        <v/>
      </c>
      <c r="C8" s="10" t="inlineStr">
        <is>
          <t>=СУММПРОИЗВ(x − x̄; y − ȳ)</t>
        </is>
      </c>
    </row>
    <row r="9">
      <c r="A9" s="8" t="inlineStr">
        <is>
          <t>TSS = Σ(y − ȳ)²</t>
        </is>
      </c>
      <c r="B9" s="12">
        <f>DEVSQ(Данные!$B$6:$B$21)</f>
        <v/>
      </c>
    </row>
    <row r="10">
      <c r="A10" s="8" t="inlineStr">
        <is>
          <t>β̂ — наклон</t>
        </is>
      </c>
      <c r="B10" s="13">
        <f>B8/B7</f>
        <v/>
      </c>
    </row>
    <row r="11">
      <c r="A11" s="8" t="inlineStr">
        <is>
          <t>α̂ — свободный член</t>
        </is>
      </c>
      <c r="B11" s="13">
        <f>B6-B10*B5</f>
        <v/>
      </c>
    </row>
    <row r="12"/>
    <row r="13">
      <c r="A13" s="3" t="inlineStr">
        <is>
          <t>Год</t>
        </is>
      </c>
      <c r="B13" s="3" t="inlineStr">
        <is>
          <t>y</t>
        </is>
      </c>
      <c r="C13" s="3" t="inlineStr">
        <is>
          <t>x</t>
        </is>
      </c>
      <c r="D13" s="3" t="inlineStr">
        <is>
          <t>ŷ = α̂ + β̂·x</t>
        </is>
      </c>
      <c r="E13" s="3" t="inlineStr">
        <is>
          <t>e = y − ŷ</t>
        </is>
      </c>
      <c r="F13" s="3" t="inlineStr">
        <is>
          <t>e²</t>
        </is>
      </c>
    </row>
    <row r="14">
      <c r="A14" s="14">
        <f>Данные!A6</f>
        <v/>
      </c>
      <c r="B14" s="15">
        <f>Данные!B6</f>
        <v/>
      </c>
      <c r="C14" s="15">
        <f>Данные!C6</f>
        <v/>
      </c>
      <c r="D14" s="16">
        <f>$B$11+$B$10*C14</f>
        <v/>
      </c>
      <c r="E14" s="16">
        <f>B14-D14</f>
        <v/>
      </c>
      <c r="F14" s="16">
        <f>E14^2</f>
        <v/>
      </c>
    </row>
    <row r="15">
      <c r="A15" s="14">
        <f>Данные!A7</f>
        <v/>
      </c>
      <c r="B15" s="15">
        <f>Данные!B7</f>
        <v/>
      </c>
      <c r="C15" s="15">
        <f>Данные!C7</f>
        <v/>
      </c>
      <c r="D15" s="16">
        <f>$B$11+$B$10*C15</f>
        <v/>
      </c>
      <c r="E15" s="16">
        <f>B15-D15</f>
        <v/>
      </c>
      <c r="F15" s="16">
        <f>E15^2</f>
        <v/>
      </c>
    </row>
    <row r="16">
      <c r="A16" s="14">
        <f>Данные!A8</f>
        <v/>
      </c>
      <c r="B16" s="15">
        <f>Данные!B8</f>
        <v/>
      </c>
      <c r="C16" s="15">
        <f>Данные!C8</f>
        <v/>
      </c>
      <c r="D16" s="16">
        <f>$B$11+$B$10*C16</f>
        <v/>
      </c>
      <c r="E16" s="16">
        <f>B16-D16</f>
        <v/>
      </c>
      <c r="F16" s="16">
        <f>E16^2</f>
        <v/>
      </c>
    </row>
    <row r="17">
      <c r="A17" s="14">
        <f>Данные!A9</f>
        <v/>
      </c>
      <c r="B17" s="15">
        <f>Данные!B9</f>
        <v/>
      </c>
      <c r="C17" s="15">
        <f>Данные!C9</f>
        <v/>
      </c>
      <c r="D17" s="16">
        <f>$B$11+$B$10*C17</f>
        <v/>
      </c>
      <c r="E17" s="16">
        <f>B17-D17</f>
        <v/>
      </c>
      <c r="F17" s="16">
        <f>E17^2</f>
        <v/>
      </c>
    </row>
    <row r="18">
      <c r="A18" s="14">
        <f>Данные!A10</f>
        <v/>
      </c>
      <c r="B18" s="15">
        <f>Данные!B10</f>
        <v/>
      </c>
      <c r="C18" s="15">
        <f>Данные!C10</f>
        <v/>
      </c>
      <c r="D18" s="16">
        <f>$B$11+$B$10*C18</f>
        <v/>
      </c>
      <c r="E18" s="16">
        <f>B18-D18</f>
        <v/>
      </c>
      <c r="F18" s="16">
        <f>E18^2</f>
        <v/>
      </c>
    </row>
    <row r="19">
      <c r="A19" s="14">
        <f>Данные!A11</f>
        <v/>
      </c>
      <c r="B19" s="15">
        <f>Данные!B11</f>
        <v/>
      </c>
      <c r="C19" s="15">
        <f>Данные!C11</f>
        <v/>
      </c>
      <c r="D19" s="16">
        <f>$B$11+$B$10*C19</f>
        <v/>
      </c>
      <c r="E19" s="16">
        <f>B19-D19</f>
        <v/>
      </c>
      <c r="F19" s="16">
        <f>E19^2</f>
        <v/>
      </c>
    </row>
    <row r="20">
      <c r="A20" s="14">
        <f>Данные!A12</f>
        <v/>
      </c>
      <c r="B20" s="15">
        <f>Данные!B12</f>
        <v/>
      </c>
      <c r="C20" s="15">
        <f>Данные!C12</f>
        <v/>
      </c>
      <c r="D20" s="16">
        <f>$B$11+$B$10*C20</f>
        <v/>
      </c>
      <c r="E20" s="16">
        <f>B20-D20</f>
        <v/>
      </c>
      <c r="F20" s="16">
        <f>E20^2</f>
        <v/>
      </c>
    </row>
    <row r="21">
      <c r="A21" s="14">
        <f>Данные!A13</f>
        <v/>
      </c>
      <c r="B21" s="15">
        <f>Данные!B13</f>
        <v/>
      </c>
      <c r="C21" s="15">
        <f>Данные!C13</f>
        <v/>
      </c>
      <c r="D21" s="16">
        <f>$B$11+$B$10*C21</f>
        <v/>
      </c>
      <c r="E21" s="16">
        <f>B21-D21</f>
        <v/>
      </c>
      <c r="F21" s="16">
        <f>E21^2</f>
        <v/>
      </c>
    </row>
    <row r="22">
      <c r="A22" s="14">
        <f>Данные!A14</f>
        <v/>
      </c>
      <c r="B22" s="15">
        <f>Данные!B14</f>
        <v/>
      </c>
      <c r="C22" s="15">
        <f>Данные!C14</f>
        <v/>
      </c>
      <c r="D22" s="16">
        <f>$B$11+$B$10*C22</f>
        <v/>
      </c>
      <c r="E22" s="16">
        <f>B22-D22</f>
        <v/>
      </c>
      <c r="F22" s="16">
        <f>E22^2</f>
        <v/>
      </c>
    </row>
    <row r="23">
      <c r="A23" s="14">
        <f>Данные!A15</f>
        <v/>
      </c>
      <c r="B23" s="15">
        <f>Данные!B15</f>
        <v/>
      </c>
      <c r="C23" s="15">
        <f>Данные!C15</f>
        <v/>
      </c>
      <c r="D23" s="16">
        <f>$B$11+$B$10*C23</f>
        <v/>
      </c>
      <c r="E23" s="16">
        <f>B23-D23</f>
        <v/>
      </c>
      <c r="F23" s="16">
        <f>E23^2</f>
        <v/>
      </c>
    </row>
    <row r="24">
      <c r="A24" s="14">
        <f>Данные!A16</f>
        <v/>
      </c>
      <c r="B24" s="15">
        <f>Данные!B16</f>
        <v/>
      </c>
      <c r="C24" s="15">
        <f>Данные!C16</f>
        <v/>
      </c>
      <c r="D24" s="16">
        <f>$B$11+$B$10*C24</f>
        <v/>
      </c>
      <c r="E24" s="16">
        <f>B24-D24</f>
        <v/>
      </c>
      <c r="F24" s="16">
        <f>E24^2</f>
        <v/>
      </c>
    </row>
    <row r="25">
      <c r="A25" s="14">
        <f>Данные!A17</f>
        <v/>
      </c>
      <c r="B25" s="15">
        <f>Данные!B17</f>
        <v/>
      </c>
      <c r="C25" s="15">
        <f>Данные!C17</f>
        <v/>
      </c>
      <c r="D25" s="16">
        <f>$B$11+$B$10*C25</f>
        <v/>
      </c>
      <c r="E25" s="16">
        <f>B25-D25</f>
        <v/>
      </c>
      <c r="F25" s="16">
        <f>E25^2</f>
        <v/>
      </c>
    </row>
    <row r="26">
      <c r="A26" s="14">
        <f>Данные!A18</f>
        <v/>
      </c>
      <c r="B26" s="15">
        <f>Данные!B18</f>
        <v/>
      </c>
      <c r="C26" s="15">
        <f>Данные!C18</f>
        <v/>
      </c>
      <c r="D26" s="16">
        <f>$B$11+$B$10*C26</f>
        <v/>
      </c>
      <c r="E26" s="16">
        <f>B26-D26</f>
        <v/>
      </c>
      <c r="F26" s="16">
        <f>E26^2</f>
        <v/>
      </c>
    </row>
    <row r="27">
      <c r="A27" s="14">
        <f>Данные!A19</f>
        <v/>
      </c>
      <c r="B27" s="15">
        <f>Данные!B19</f>
        <v/>
      </c>
      <c r="C27" s="15">
        <f>Данные!C19</f>
        <v/>
      </c>
      <c r="D27" s="16">
        <f>$B$11+$B$10*C27</f>
        <v/>
      </c>
      <c r="E27" s="16">
        <f>B27-D27</f>
        <v/>
      </c>
      <c r="F27" s="16">
        <f>E27^2</f>
        <v/>
      </c>
    </row>
    <row r="28">
      <c r="A28" s="14">
        <f>Данные!A20</f>
        <v/>
      </c>
      <c r="B28" s="15">
        <f>Данные!B20</f>
        <v/>
      </c>
      <c r="C28" s="15">
        <f>Данные!C20</f>
        <v/>
      </c>
      <c r="D28" s="16">
        <f>$B$11+$B$10*C28</f>
        <v/>
      </c>
      <c r="E28" s="16">
        <f>B28-D28</f>
        <v/>
      </c>
      <c r="F28" s="16">
        <f>E28^2</f>
        <v/>
      </c>
    </row>
    <row r="29">
      <c r="A29" s="14">
        <f>Данные!A21</f>
        <v/>
      </c>
      <c r="B29" s="15">
        <f>Данные!B21</f>
        <v/>
      </c>
      <c r="C29" s="15">
        <f>Данные!C21</f>
        <v/>
      </c>
      <c r="D29" s="16">
        <f>$B$11+$B$10*C29</f>
        <v/>
      </c>
      <c r="E29" s="16">
        <f>B29-D29</f>
        <v/>
      </c>
      <c r="F29" s="16">
        <f>E29^2</f>
        <v/>
      </c>
    </row>
    <row r="30">
      <c r="A30" s="17" t="inlineStr">
        <is>
          <t>Сумма</t>
        </is>
      </c>
      <c r="B30" s="18" t="n"/>
      <c r="C30" s="18" t="n"/>
      <c r="D30" s="18" t="n"/>
      <c r="E30" s="16">
        <f>SUM(E14:E29)</f>
        <v/>
      </c>
      <c r="F30" s="16">
        <f>SUM(F14:F29)</f>
        <v/>
      </c>
    </row>
    <row r="31"/>
    <row r="32">
      <c r="A32" s="8" t="inlineStr">
        <is>
          <t>ESS = Σe²</t>
        </is>
      </c>
      <c r="B32" s="19">
        <f>F30</f>
        <v/>
      </c>
    </row>
    <row r="33">
      <c r="A33" s="8" t="inlineStr">
        <is>
          <t>R² = 1 − ESS/TSS</t>
        </is>
      </c>
      <c r="B33" s="20">
        <f>1-B32/B9</f>
        <v/>
      </c>
    </row>
    <row r="34">
      <c r="A34" s="8" t="inlineStr">
        <is>
          <t>s² = ESS/(n − 2)</t>
        </is>
      </c>
      <c r="B34" s="12">
        <f>B32/(B4-2)</f>
        <v/>
      </c>
    </row>
    <row r="35">
      <c r="A35" s="8" t="inlineStr">
        <is>
          <t>s(β̂)</t>
        </is>
      </c>
      <c r="B35" s="21">
        <f>SQRT(B34/B7)</f>
        <v/>
      </c>
    </row>
    <row r="36">
      <c r="A36" s="8" t="inlineStr">
        <is>
          <t>t(β̂)</t>
        </is>
      </c>
      <c r="B36" s="11">
        <f>B10/B35</f>
        <v/>
      </c>
    </row>
    <row r="37">
      <c r="A37" s="8" t="inlineStr">
        <is>
          <t>P-значение</t>
        </is>
      </c>
      <c r="B37" s="21">
        <f>TDIST(ABS(B36),B4-2,2)</f>
        <v/>
      </c>
      <c r="C37" s="10" t="inlineStr">
        <is>
          <t>=СТЬЮДРАСП(|t|; n − 2;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" customWidth="1" min="3" max="3"/>
    <col width="14" customWidth="1" min="4" max="4"/>
  </cols>
  <sheetData>
    <row r="1">
      <c r="A1" s="1" t="inlineStr">
        <is>
          <t>2) Две отдельные регрессии: мирные и военные годы</t>
        </is>
      </c>
    </row>
    <row r="2">
      <c r="A2" s="2" t="inlineStr">
        <is>
          <t>Подвыборки задаются индикатором: (1 − D) — мир, D — война. Суммы по подвыборке считает СУММПРОИЗВ с этим индикатором.</t>
        </is>
      </c>
    </row>
    <row r="3"/>
    <row r="4">
      <c r="B4" s="22" t="inlineStr">
        <is>
          <t>Мирные годы (D = 0)</t>
        </is>
      </c>
      <c r="D4" s="22" t="inlineStr">
        <is>
          <t>Военные годы (D = 1)</t>
        </is>
      </c>
    </row>
    <row r="5">
      <c r="A5" s="17" t="inlineStr">
        <is>
          <t>n</t>
        </is>
      </c>
      <c r="B5" s="6">
        <f>SUMPRODUCT((1-Данные!$D$6:$D$21))</f>
        <v/>
      </c>
      <c r="C5" s="18" t="n"/>
      <c r="D5" s="6">
        <f>SUMPRODUCT(Данные!$D$6:$D$21)</f>
        <v/>
      </c>
    </row>
    <row r="6">
      <c r="A6" s="17" t="inlineStr">
        <is>
          <t>x̄</t>
        </is>
      </c>
      <c r="B6" s="23">
        <f>SUMPRODUCT((1-Данные!$D$6:$D$21),Данные!$C$6:$C$21)/B5</f>
        <v/>
      </c>
      <c r="C6" s="18" t="n"/>
      <c r="D6" s="23">
        <f>SUMPRODUCT(Данные!$D$6:$D$21,Данные!$C$6:$C$21)/D5</f>
        <v/>
      </c>
    </row>
    <row r="7">
      <c r="A7" s="17" t="inlineStr">
        <is>
          <t>ȳ</t>
        </is>
      </c>
      <c r="B7" s="23">
        <f>SUMPRODUCT((1-Данные!$D$6:$D$21),Данные!$B$6:$B$21)/B5</f>
        <v/>
      </c>
      <c r="C7" s="18" t="n"/>
      <c r="D7" s="23">
        <f>SUMPRODUCT(Данные!$D$6:$D$21,Данные!$B$6:$B$21)/D5</f>
        <v/>
      </c>
    </row>
    <row r="8">
      <c r="A8" s="17" t="inlineStr">
        <is>
          <t>Σ(x − x̄)²</t>
        </is>
      </c>
      <c r="B8" s="16">
        <f>SUMPRODUCT((1-Данные!$D$6:$D$21),(Данные!$C$6:$C$21-B6)^2)</f>
        <v/>
      </c>
      <c r="C8" s="18" t="n"/>
      <c r="D8" s="16">
        <f>SUMPRODUCT(Данные!$D$6:$D$21,(Данные!$C$6:$C$21-D6)^2)</f>
        <v/>
      </c>
    </row>
    <row r="9">
      <c r="A9" s="17" t="inlineStr">
        <is>
          <t>Σ(x − x̄)(y − ȳ)</t>
        </is>
      </c>
      <c r="B9" s="16">
        <f>SUMPRODUCT((1-Данные!$D$6:$D$21),(Данные!$C$6:$C$21-B6)*(Данные!$B$6:$B$21-B7))</f>
        <v/>
      </c>
      <c r="C9" s="18" t="n"/>
      <c r="D9" s="16">
        <f>SUMPRODUCT(Данные!$D$6:$D$21,(Данные!$C$6:$C$21-D6)*(Данные!$B$6:$B$21-D7))</f>
        <v/>
      </c>
    </row>
    <row r="10">
      <c r="A10" s="17" t="inlineStr">
        <is>
          <t>β̂</t>
        </is>
      </c>
      <c r="B10" s="24">
        <f>B9/B8</f>
        <v/>
      </c>
      <c r="C10" s="18" t="n"/>
      <c r="D10" s="24">
        <f>D9/D8</f>
        <v/>
      </c>
    </row>
    <row r="11">
      <c r="A11" s="17" t="inlineStr">
        <is>
          <t>α̂</t>
        </is>
      </c>
      <c r="B11" s="24">
        <f>B7-B10*B6</f>
        <v/>
      </c>
      <c r="C11" s="18" t="n"/>
      <c r="D11" s="24">
        <f>D7-D10*D6</f>
        <v/>
      </c>
    </row>
    <row r="12">
      <c r="A12" s="17" t="inlineStr">
        <is>
          <t>ESS</t>
        </is>
      </c>
      <c r="B12" s="25">
        <f>SUMPRODUCT((1-Данные!$D$6:$D$21),(Данные!$B$6:$B$21-B11-B10*Данные!$C$6:$C$21)^2)</f>
        <v/>
      </c>
      <c r="C12" s="18" t="n"/>
      <c r="D12" s="25">
        <f>SUMPRODUCT(Данные!$D$6:$D$21,(Данные!$B$6:$B$21-D11-D10*Данные!$C$6:$C$21)^2)</f>
        <v/>
      </c>
    </row>
    <row r="13">
      <c r="A13" s="17" t="inlineStr">
        <is>
          <t>TSS подвыборки</t>
        </is>
      </c>
      <c r="B13" s="16">
        <f>SUMPRODUCT((1-Данные!$D$6:$D$21),(Данные!$B$6:$B$21-B7)^2)</f>
        <v/>
      </c>
      <c r="C13" s="18" t="n"/>
      <c r="D13" s="16">
        <f>SUMPRODUCT(Данные!$D$6:$D$21,(Данные!$B$6:$B$21-D7)^2)</f>
        <v/>
      </c>
    </row>
    <row r="14">
      <c r="A14" s="17" t="inlineStr">
        <is>
          <t>R²</t>
        </is>
      </c>
      <c r="B14" s="26">
        <f>1-B12/B13</f>
        <v/>
      </c>
      <c r="C14" s="18" t="n"/>
      <c r="D14" s="26">
        <f>1-D12/D13</f>
        <v/>
      </c>
    </row>
    <row r="15"/>
    <row r="16">
      <c r="A16" s="2" t="inlineStr">
        <is>
          <t>Видно, что в военные годы связь разваливается: R² почти нулевой, а наклон меняет знак.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4" customWidth="1" min="4" max="4"/>
    <col width="14" customWidth="1" min="5" max="5"/>
  </cols>
  <sheetData>
    <row r="1">
      <c r="A1" s="1" t="inlineStr">
        <is>
          <t>3) Одна регрессия по всем годам с фиктивной переменной</t>
        </is>
      </c>
    </row>
    <row r="2">
      <c r="A2" s="2" t="inlineStr">
        <is>
          <t>Модель: y = β₁ + β₂·x + β₃·D + β₄·(D·x). Оценивается функцией ЛИНЕЙН по трём столбцам x, D, D·x.</t>
        </is>
      </c>
    </row>
    <row r="3">
      <c r="A3" s="2" t="inlineStr">
        <is>
          <t>ЛИНЕЙН выдаёт коэффициенты в обратном порядке столбцов, поэтому нужный достаётся через ИНДЕКС.</t>
        </is>
      </c>
    </row>
    <row r="4"/>
    <row r="5">
      <c r="A5" s="3" t="inlineStr">
        <is>
          <t>Переменная</t>
        </is>
      </c>
      <c r="B5" s="3" t="inlineStr">
        <is>
          <t>Коэффициент</t>
        </is>
      </c>
      <c r="C5" s="3" t="inlineStr">
        <is>
          <t>Ст. ошибка</t>
        </is>
      </c>
      <c r="D5" s="3" t="inlineStr">
        <is>
          <t>t-статистика</t>
        </is>
      </c>
      <c r="E5" s="3" t="inlineStr">
        <is>
          <t>P-значение</t>
        </is>
      </c>
    </row>
    <row r="6">
      <c r="A6" s="17" t="inlineStr">
        <is>
          <t>const</t>
        </is>
      </c>
      <c r="B6" s="24">
        <f>INDEX(LINEST(Данные!$B$6:$B$21,Данные!$C$6:$E$21,TRUE,TRUE),1,4)</f>
        <v/>
      </c>
      <c r="C6" s="23">
        <f>INDEX(LINEST(Данные!$B$6:$B$21,Данные!$C$6:$E$21,TRUE,TRUE),2,4)</f>
        <v/>
      </c>
      <c r="D6" s="23">
        <f>B6/C6</f>
        <v/>
      </c>
      <c r="E6" s="27">
        <f>TDIST(ABS(D6),$B$12,2)</f>
        <v/>
      </c>
    </row>
    <row r="7">
      <c r="A7" s="17" t="inlineStr">
        <is>
          <t>x</t>
        </is>
      </c>
      <c r="B7" s="24">
        <f>INDEX(LINEST(Данные!$B$6:$B$21,Данные!$C$6:$E$21,TRUE,TRUE),1,3)</f>
        <v/>
      </c>
      <c r="C7" s="23">
        <f>INDEX(LINEST(Данные!$B$6:$B$21,Данные!$C$6:$E$21,TRUE,TRUE),2,3)</f>
        <v/>
      </c>
      <c r="D7" s="23">
        <f>B7/C7</f>
        <v/>
      </c>
      <c r="E7" s="27">
        <f>TDIST(ABS(D7),$B$12,2)</f>
        <v/>
      </c>
    </row>
    <row r="8">
      <c r="A8" s="17" t="inlineStr">
        <is>
          <t>D</t>
        </is>
      </c>
      <c r="B8" s="24">
        <f>INDEX(LINEST(Данные!$B$6:$B$21,Данные!$C$6:$E$21,TRUE,TRUE),1,2)</f>
        <v/>
      </c>
      <c r="C8" s="23">
        <f>INDEX(LINEST(Данные!$B$6:$B$21,Данные!$C$6:$E$21,TRUE,TRUE),2,2)</f>
        <v/>
      </c>
      <c r="D8" s="23">
        <f>B8/C8</f>
        <v/>
      </c>
      <c r="E8" s="27">
        <f>TDIST(ABS(D8),$B$12,2)</f>
        <v/>
      </c>
    </row>
    <row r="9">
      <c r="A9" s="17" t="inlineStr">
        <is>
          <t>D · x</t>
        </is>
      </c>
      <c r="B9" s="24">
        <f>INDEX(LINEST(Данные!$B$6:$B$21,Данные!$C$6:$E$21,TRUE,TRUE),1,1)</f>
        <v/>
      </c>
      <c r="C9" s="23">
        <f>INDEX(LINEST(Данные!$B$6:$B$21,Данные!$C$6:$E$21,TRUE,TRUE),2,1)</f>
        <v/>
      </c>
      <c r="D9" s="23">
        <f>B9/C9</f>
        <v/>
      </c>
      <c r="E9" s="27">
        <f>TDIST(ABS(D9),$B$12,2)</f>
        <v/>
      </c>
    </row>
    <row r="10"/>
    <row r="11">
      <c r="A11" s="8" t="inlineStr">
        <is>
          <t>R²</t>
        </is>
      </c>
      <c r="B11" s="20">
        <f>INDEX(LINEST(Данные!$B$6:$B$21,Данные!$C$6:$E$21,TRUE,TRUE),3,1)</f>
        <v/>
      </c>
    </row>
    <row r="12">
      <c r="A12" s="8" t="inlineStr">
        <is>
          <t>степени свободы n − k</t>
        </is>
      </c>
      <c r="B12" s="9">
        <f>INDEX(LINEST(Данные!$B$6:$B$21,Данные!$C$6:$E$21,TRUE,TRUE),4,2)</f>
        <v/>
      </c>
    </row>
    <row r="13">
      <c r="A13" s="8" t="inlineStr">
        <is>
          <t>ESS модели с дамми</t>
        </is>
      </c>
      <c r="B13" s="19">
        <f>INDEX(LINEST(Данные!$B$6:$B$21,Данные!$C$6:$E$21,TRUE,TRUE),5,2)</f>
        <v/>
      </c>
      <c r="C13" s="10" t="inlineStr">
        <is>
          <t>пятая строка ЛИНЕЙН: слева RSS, справа ESS</t>
        </is>
      </c>
    </row>
    <row r="14"/>
    <row r="15">
      <c r="A15" s="8" t="inlineStr">
        <is>
          <t>ESS(мир) + ESS(война)</t>
        </is>
      </c>
      <c r="B15" s="28">
        <f>'2) Мир и война'!B12+'2) Мир и война'!D12</f>
        <v/>
      </c>
      <c r="C15" s="10" t="inlineStr">
        <is>
          <t>совпадает с ESS модели с дамми</t>
        </is>
      </c>
    </row>
    <row r="16">
      <c r="A16" s="8" t="inlineStr">
        <is>
          <t>Разность</t>
        </is>
      </c>
      <c r="B16" s="29">
        <f>B13-B15</f>
        <v/>
      </c>
      <c r="C16" s="10" t="inlineStr">
        <is>
          <t>должна быть 0</t>
        </is>
      </c>
    </row>
    <row r="17"/>
    <row r="18">
      <c r="A18" s="2" t="inlineStr">
        <is>
          <t>Модель с дамми подгоняет обе подвыборки независимо — поэтому её остаточная сумма равна сумме остаточных сумм двух отдельных регрессий.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4" customWidth="1" min="3" max="3"/>
  </cols>
  <sheetData>
    <row r="1">
      <c r="A1" s="1" t="inlineStr">
        <is>
          <t>4) Проверка структурного сдвига</t>
        </is>
      </c>
    </row>
    <row r="2">
      <c r="A2" s="2" t="inlineStr">
        <is>
          <t>H₀: коэффициенты в мирные и военные годы одинаковы.</t>
        </is>
      </c>
    </row>
    <row r="3"/>
    <row r="4">
      <c r="A4" s="8" t="inlineStr">
        <is>
          <t>ESS по всем годам (с ограничением)</t>
        </is>
      </c>
      <c r="B4" s="30">
        <f>'1) Все годы'!B32</f>
        <v/>
      </c>
    </row>
    <row r="5">
      <c r="A5" s="8" t="inlineStr">
        <is>
          <t>ESS мирных лет</t>
        </is>
      </c>
      <c r="B5" s="30">
        <f>'2) Мир и война'!B12</f>
        <v/>
      </c>
    </row>
    <row r="6">
      <c r="A6" s="8" t="inlineStr">
        <is>
          <t>ESS военных лет</t>
        </is>
      </c>
      <c r="B6" s="30">
        <f>'2) Мир и война'!D12</f>
        <v/>
      </c>
    </row>
    <row r="7">
      <c r="A7" s="8" t="inlineStr">
        <is>
          <t>ESS без ограничения = сумма</t>
        </is>
      </c>
      <c r="B7" s="12">
        <f>B5+B6</f>
        <v/>
      </c>
    </row>
    <row r="8">
      <c r="A8" s="8" t="inlineStr">
        <is>
          <t>n</t>
        </is>
      </c>
      <c r="B8" s="9">
        <f>COUNT(Данные!$B$6:$B$21)</f>
        <v/>
      </c>
    </row>
    <row r="9">
      <c r="A9" s="8" t="inlineStr">
        <is>
          <t>k — число параметров</t>
        </is>
      </c>
      <c r="B9" s="4" t="n">
        <v>2</v>
      </c>
      <c r="C9" s="10" t="inlineStr">
        <is>
          <t>в каждой подвыборке оценивается α и β</t>
        </is>
      </c>
    </row>
    <row r="10">
      <c r="A10" s="8" t="inlineStr">
        <is>
          <t>F</t>
        </is>
      </c>
      <c r="B10" s="13">
        <f>((B4-B7)/B9)/(B7/(B8-2*B9))</f>
        <v/>
      </c>
      <c r="C10" s="10" t="inlineStr">
        <is>
          <t>F = ((ESS_R − ESS_UR)/k) / (ESS_UR/(n − 2k))</t>
        </is>
      </c>
    </row>
    <row r="11">
      <c r="A11" s="8" t="inlineStr">
        <is>
          <t>F критическое (5 %)</t>
        </is>
      </c>
      <c r="B11" s="11">
        <f>FINV(0.05,B9,B8-2*B9)</f>
        <v/>
      </c>
      <c r="C11" s="10" t="inlineStr">
        <is>
          <t>=FРАСПОБР(0,05; k; n − 2k)</t>
        </is>
      </c>
    </row>
    <row r="12">
      <c r="A12" s="8" t="inlineStr">
        <is>
          <t>P-значение</t>
        </is>
      </c>
      <c r="B12" s="31">
        <f>FDIST(B10,B9,B8-2*B9)</f>
        <v/>
      </c>
      <c r="C12" s="10" t="inlineStr">
        <is>
          <t>=FРАСП(F; k; n − 2k)</t>
        </is>
      </c>
    </row>
    <row r="13">
      <c r="A13" s="8" t="inlineStr">
        <is>
          <t>Вывод</t>
        </is>
      </c>
      <c r="B13" s="32">
        <f>IF(B10&gt;B11,"H₀ отвергается: зависимость во время войны другая","H₀ не отвергается")</f>
        <v/>
      </c>
    </row>
    <row r="14"/>
    <row r="15">
      <c r="A15" s="2" t="inlineStr">
        <is>
          <t>Тот же ответ даёт F-тест совместной значимости D и D·x в модели с дамми: по отдельности они незначимы, а вместе — значимы.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3" customWidth="1" min="6" max="6"/>
    <col width="28" customWidth="1" min="7" max="7"/>
  </cols>
  <sheetData>
    <row r="1">
      <c r="A1" s="1" t="inlineStr">
        <is>
          <t>Данные, отсортированные по D: сначала мир, потом война</t>
        </is>
      </c>
    </row>
    <row r="2">
      <c r="A2" s="2" t="inlineStr">
        <is>
          <t>Пакет анализа берёт только сплошной диапазон, а на листе «Данные» мирные годы разорваны: 1939–1941 и 1946–1954.</t>
        </is>
      </c>
    </row>
    <row r="3">
      <c r="A3" s="2" t="inlineStr">
        <is>
          <t>Здесь те же 16 наблюдений, просто переставленные строками; значения подтягиваются с листа «Данные» формулами.</t>
        </is>
      </c>
    </row>
    <row r="4"/>
    <row r="5">
      <c r="A5" s="3" t="inlineStr">
        <is>
          <t>Год</t>
        </is>
      </c>
      <c r="B5" s="3" t="inlineStr">
        <is>
          <t>y — инвестиции</t>
        </is>
      </c>
      <c r="C5" s="3" t="inlineStr">
        <is>
          <t>x — ВВП</t>
        </is>
      </c>
      <c r="D5" s="3" t="inlineStr">
        <is>
          <t>D — война</t>
        </is>
      </c>
      <c r="E5" s="3" t="inlineStr">
        <is>
          <t>D · x</t>
        </is>
      </c>
    </row>
    <row r="6">
      <c r="A6" s="14">
        <f>Данные!A6</f>
        <v/>
      </c>
      <c r="B6" s="15">
        <f>Данные!B6</f>
        <v/>
      </c>
      <c r="C6" s="15">
        <f>Данные!C6</f>
        <v/>
      </c>
      <c r="D6" s="14">
        <f>Данные!D6</f>
        <v/>
      </c>
      <c r="E6" s="15">
        <f>Данные!E6</f>
        <v/>
      </c>
    </row>
    <row r="7">
      <c r="A7" s="14">
        <f>Данные!A7</f>
        <v/>
      </c>
      <c r="B7" s="15">
        <f>Данные!B7</f>
        <v/>
      </c>
      <c r="C7" s="15">
        <f>Данные!C7</f>
        <v/>
      </c>
      <c r="D7" s="14">
        <f>Данные!D7</f>
        <v/>
      </c>
      <c r="E7" s="15">
        <f>Данные!E7</f>
        <v/>
      </c>
    </row>
    <row r="8">
      <c r="A8" s="14">
        <f>Данные!A8</f>
        <v/>
      </c>
      <c r="B8" s="15">
        <f>Данные!B8</f>
        <v/>
      </c>
      <c r="C8" s="15">
        <f>Данные!C8</f>
        <v/>
      </c>
      <c r="D8" s="14">
        <f>Данные!D8</f>
        <v/>
      </c>
      <c r="E8" s="15">
        <f>Данные!E8</f>
        <v/>
      </c>
    </row>
    <row r="9">
      <c r="A9" s="14">
        <f>Данные!A13</f>
        <v/>
      </c>
      <c r="B9" s="15">
        <f>Данные!B13</f>
        <v/>
      </c>
      <c r="C9" s="15">
        <f>Данные!C13</f>
        <v/>
      </c>
      <c r="D9" s="14">
        <f>Данные!D13</f>
        <v/>
      </c>
      <c r="E9" s="15">
        <f>Данные!E13</f>
        <v/>
      </c>
    </row>
    <row r="10">
      <c r="A10" s="14">
        <f>Данные!A14</f>
        <v/>
      </c>
      <c r="B10" s="15">
        <f>Данные!B14</f>
        <v/>
      </c>
      <c r="C10" s="15">
        <f>Данные!C14</f>
        <v/>
      </c>
      <c r="D10" s="14">
        <f>Данные!D14</f>
        <v/>
      </c>
      <c r="E10" s="15">
        <f>Данные!E14</f>
        <v/>
      </c>
    </row>
    <row r="11">
      <c r="A11" s="14">
        <f>Данные!A15</f>
        <v/>
      </c>
      <c r="B11" s="15">
        <f>Данные!B15</f>
        <v/>
      </c>
      <c r="C11" s="15">
        <f>Данные!C15</f>
        <v/>
      </c>
      <c r="D11" s="14">
        <f>Данные!D15</f>
        <v/>
      </c>
      <c r="E11" s="15">
        <f>Данные!E15</f>
        <v/>
      </c>
    </row>
    <row r="12">
      <c r="A12" s="14">
        <f>Данные!A16</f>
        <v/>
      </c>
      <c r="B12" s="15">
        <f>Данные!B16</f>
        <v/>
      </c>
      <c r="C12" s="15">
        <f>Данные!C16</f>
        <v/>
      </c>
      <c r="D12" s="14">
        <f>Данные!D16</f>
        <v/>
      </c>
      <c r="E12" s="15">
        <f>Данные!E16</f>
        <v/>
      </c>
    </row>
    <row r="13">
      <c r="A13" s="14">
        <f>Данные!A17</f>
        <v/>
      </c>
      <c r="B13" s="15">
        <f>Данные!B17</f>
        <v/>
      </c>
      <c r="C13" s="15">
        <f>Данные!C17</f>
        <v/>
      </c>
      <c r="D13" s="14">
        <f>Данные!D17</f>
        <v/>
      </c>
      <c r="E13" s="15">
        <f>Данные!E17</f>
        <v/>
      </c>
    </row>
    <row r="14">
      <c r="A14" s="14">
        <f>Данные!A18</f>
        <v/>
      </c>
      <c r="B14" s="15">
        <f>Данные!B18</f>
        <v/>
      </c>
      <c r="C14" s="15">
        <f>Данные!C18</f>
        <v/>
      </c>
      <c r="D14" s="14">
        <f>Данные!D18</f>
        <v/>
      </c>
      <c r="E14" s="15">
        <f>Данные!E18</f>
        <v/>
      </c>
    </row>
    <row r="15">
      <c r="A15" s="14">
        <f>Данные!A19</f>
        <v/>
      </c>
      <c r="B15" s="15">
        <f>Данные!B19</f>
        <v/>
      </c>
      <c r="C15" s="15">
        <f>Данные!C19</f>
        <v/>
      </c>
      <c r="D15" s="14">
        <f>Данные!D19</f>
        <v/>
      </c>
      <c r="E15" s="15">
        <f>Данные!E19</f>
        <v/>
      </c>
    </row>
    <row r="16">
      <c r="A16" s="14">
        <f>Данные!A20</f>
        <v/>
      </c>
      <c r="B16" s="15">
        <f>Данные!B20</f>
        <v/>
      </c>
      <c r="C16" s="15">
        <f>Данные!C20</f>
        <v/>
      </c>
      <c r="D16" s="14">
        <f>Данные!D20</f>
        <v/>
      </c>
      <c r="E16" s="15">
        <f>Данные!E20</f>
        <v/>
      </c>
    </row>
    <row r="17">
      <c r="A17" s="14">
        <f>Данные!A21</f>
        <v/>
      </c>
      <c r="B17" s="15">
        <f>Данные!B21</f>
        <v/>
      </c>
      <c r="C17" s="15">
        <f>Данные!C21</f>
        <v/>
      </c>
      <c r="D17" s="14">
        <f>Данные!D21</f>
        <v/>
      </c>
      <c r="E17" s="15">
        <f>Данные!E21</f>
        <v/>
      </c>
      <c r="G17" s="10" t="inlineStr">
        <is>
          <t>◄ мирные годы кончаются здесь</t>
        </is>
      </c>
    </row>
    <row r="18">
      <c r="A18" s="14">
        <f>Данные!A9</f>
        <v/>
      </c>
      <c r="B18" s="15">
        <f>Данные!B9</f>
        <v/>
      </c>
      <c r="C18" s="15">
        <f>Данные!C9</f>
        <v/>
      </c>
      <c r="D18" s="14">
        <f>Данные!D9</f>
        <v/>
      </c>
      <c r="E18" s="15">
        <f>Данные!E9</f>
        <v/>
      </c>
      <c r="G18" s="10" t="inlineStr">
        <is>
          <t>◄ военные годы</t>
        </is>
      </c>
    </row>
    <row r="19">
      <c r="A19" s="14">
        <f>Данные!A10</f>
        <v/>
      </c>
      <c r="B19" s="15">
        <f>Данные!B10</f>
        <v/>
      </c>
      <c r="C19" s="15">
        <f>Данные!C10</f>
        <v/>
      </c>
      <c r="D19" s="14">
        <f>Данные!D10</f>
        <v/>
      </c>
      <c r="E19" s="15">
        <f>Данные!E10</f>
        <v/>
      </c>
    </row>
    <row r="20">
      <c r="A20" s="14">
        <f>Данные!A11</f>
        <v/>
      </c>
      <c r="B20" s="15">
        <f>Данные!B11</f>
        <v/>
      </c>
      <c r="C20" s="15">
        <f>Данные!C11</f>
        <v/>
      </c>
      <c r="D20" s="14">
        <f>Данные!D11</f>
        <v/>
      </c>
      <c r="E20" s="15">
        <f>Данные!E11</f>
        <v/>
      </c>
    </row>
    <row r="21">
      <c r="A21" s="14">
        <f>Данные!A12</f>
        <v/>
      </c>
      <c r="B21" s="15">
        <f>Данные!B12</f>
        <v/>
      </c>
      <c r="C21" s="15">
        <f>Данные!C12</f>
        <v/>
      </c>
      <c r="D21" s="14">
        <f>Данные!D12</f>
        <v/>
      </c>
      <c r="E21" s="15">
        <f>Данные!E12</f>
        <v/>
      </c>
    </row>
    <row r="22"/>
    <row r="23">
      <c r="A23" s="8" t="inlineStr">
        <is>
          <t>Данные → Анализ данных → Регрессия</t>
        </is>
      </c>
    </row>
    <row r="24">
      <c r="A24" s="33" t="inlineStr">
        <is>
          <t>Мирные годы (n = 12)</t>
        </is>
      </c>
      <c r="B24" s="34" t="inlineStr">
        <is>
          <t>Y: $B$5:$B$17</t>
        </is>
      </c>
      <c r="C24" s="34" t="inlineStr">
        <is>
          <t>X: $C$5:$C$17</t>
        </is>
      </c>
      <c r="D24" s="34" t="inlineStr">
        <is>
          <t>☑ Метки</t>
        </is>
      </c>
    </row>
    <row r="25">
      <c r="A25" s="33" t="inlineStr">
        <is>
          <t>Военные годы (n = 4)</t>
        </is>
      </c>
      <c r="B25" s="34" t="inlineStr">
        <is>
          <t>Y: $B$18:$B$21</t>
        </is>
      </c>
      <c r="C25" s="34" t="inlineStr">
        <is>
          <t>X: $C$18:$C$21</t>
        </is>
      </c>
      <c r="D25" s="34" t="inlineStr">
        <is>
          <t>без «Меток»</t>
        </is>
      </c>
    </row>
    <row r="26">
      <c r="A26" s="33" t="inlineStr">
        <is>
          <t>Все годы (n = 16)</t>
        </is>
      </c>
      <c r="B26" s="34" t="inlineStr">
        <is>
          <t>Y: $B$5:$B$21</t>
        </is>
      </c>
      <c r="C26" s="34" t="inlineStr">
        <is>
          <t>X: $C$5:$C$21</t>
        </is>
      </c>
      <c r="D26" s="34" t="inlineStr">
        <is>
          <t>☑ Метки</t>
        </is>
      </c>
    </row>
    <row r="27">
      <c r="A27" s="33" t="inlineStr">
        <is>
          <t>С фиктивной переменной</t>
        </is>
      </c>
      <c r="B27" s="34" t="inlineStr">
        <is>
          <t>Y: $B$5:$B$21</t>
        </is>
      </c>
      <c r="C27" s="34" t="inlineStr">
        <is>
          <t>X: $C$5:$E$21</t>
        </is>
      </c>
      <c r="D27" s="34" t="inlineStr">
        <is>
          <t>☑ Метки</t>
        </is>
      </c>
    </row>
    <row r="28"/>
    <row r="29"/>
    <row r="30">
      <c r="A30" s="8" t="inlineStr">
        <is>
          <t>Проверка: в отчёте Пакета анализа строка «Остаток», столбец SS</t>
        </is>
      </c>
    </row>
    <row r="31">
      <c r="A31" s="8" t="inlineStr">
        <is>
          <t>ESS мирных лет</t>
        </is>
      </c>
      <c r="B31" s="30">
        <f>'2) Мир и война'!B12</f>
        <v/>
      </c>
    </row>
    <row r="32">
      <c r="A32" s="8" t="inlineStr">
        <is>
          <t>ESS военных лет</t>
        </is>
      </c>
      <c r="B32" s="30">
        <f>'2) Мир и война'!D12</f>
        <v/>
      </c>
    </row>
    <row r="33">
      <c r="A33" s="8" t="inlineStr">
        <is>
          <t>ESS по всем 16 годам</t>
        </is>
      </c>
      <c r="B33" s="30">
        <f>'1) Все годы'!B32</f>
        <v/>
      </c>
    </row>
    <row r="34"/>
    <row r="35">
      <c r="A35" s="2" t="inlineStr">
        <is>
          <t>Порядок наблюдений на МНК не влияет: суммы в формулах от него не зависят.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2026-09-21T15:55:04Z</dcterms:created>
  <dcterms:modified xmlns:dcterms="http://purl.org/dc/terms/" xmlns:xsi="http://www.w3.org/2001/XMLSchema-instance" xsi:type="dcterms:W3CDTF">2026-09-27T21:56:21Z</dcterms:modified>
</cp:coreProperties>
</file>