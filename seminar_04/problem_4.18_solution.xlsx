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1) Без ограничения" sheetId="2" state="visible" r:id="rId2"/>
    <sheet xmlns:r="http://schemas.openxmlformats.org/officeDocument/2006/relationships" name="2) С ограничением" sheetId="3" state="visible" r:id="rId3"/>
    <sheet xmlns:r="http://schemas.openxmlformats.org/officeDocument/2006/relationships" name="3) F-тес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000000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</font>
    <font>
      <name val="Arial"/>
      <color rgb="00595959"/>
      <sz val="9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" fontId="4" fillId="0" borderId="1" pivotButton="0" quotePrefix="0" xfId="0"/>
    <xf numFmtId="164" fontId="5" fillId="0" borderId="1" pivotButton="0" quotePrefix="0" xfId="0"/>
    <xf numFmtId="0" fontId="3" fillId="0" borderId="0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164" fontId="5" fillId="3" borderId="1" pivotButton="0" quotePrefix="0" xfId="0"/>
    <xf numFmtId="0" fontId="6" fillId="0" borderId="0" pivotButton="0" quotePrefix="0" xfId="0"/>
    <xf numFmtId="166" fontId="5" fillId="3" borderId="1" pivotButton="0" quotePrefix="0" xfId="0"/>
    <xf numFmtId="2" fontId="5" fillId="0" borderId="1" pivotButton="0" quotePrefix="0" xfId="0"/>
    <xf numFmtId="165" fontId="5" fillId="3" borderId="1" pivotButton="0" quotePrefix="0" xfId="0"/>
    <xf numFmtId="165" fontId="7" fillId="0" borderId="1" pivotButton="0" quotePrefix="0" xfId="0"/>
    <xf numFmtId="167" fontId="5" fillId="0" borderId="1" pivotButton="0" quotePrefix="0" xfId="0"/>
    <xf numFmtId="166" fontId="7" fillId="0" borderId="1" pivotButton="0" quotePrefix="0" xfId="0"/>
    <xf numFmtId="1" fontId="7" fillId="0" borderId="1" pivotButton="0" quotePrefix="0" xfId="0"/>
    <xf numFmtId="0" fontId="5" fillId="3" borderId="1" pivotButton="0" quotePrefix="0" xfId="0"/>
    <xf numFmtId="16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Задача 4.18. Постоянная отдача на масштаб</t>
        </is>
      </c>
    </row>
    <row r="2">
      <c r="A2" s="2" t="inlineStr">
        <is>
          <t>Синий шрифт — исходные данные из условия; чёрный — формулы; зелёный — ссылки на другие листы.</t>
        </is>
      </c>
    </row>
    <row r="3">
      <c r="A3" s="2" t="inlineStr">
        <is>
          <t>Вопрос: снимает ли мультиколлинеарность ограничение β1 + β2 = 1.</t>
        </is>
      </c>
    </row>
    <row r="5">
      <c r="A5" s="3" t="inlineStr">
        <is>
          <t>Фирма</t>
        </is>
      </c>
      <c r="B5" s="3" t="inlineStr">
        <is>
          <t>Q</t>
        </is>
      </c>
      <c r="C5" s="3" t="inlineStr">
        <is>
          <t>L</t>
        </is>
      </c>
      <c r="D5" s="3" t="inlineStr">
        <is>
          <t>K</t>
        </is>
      </c>
      <c r="E5" s="3" t="inlineStr">
        <is>
          <t>ln Q</t>
        </is>
      </c>
      <c r="F5" s="3" t="inlineStr">
        <is>
          <t>ln L</t>
        </is>
      </c>
      <c r="G5" s="3" t="inlineStr">
        <is>
          <t>ln K</t>
        </is>
      </c>
      <c r="H5" s="3" t="inlineStr">
        <is>
          <t>ln(Q/K)</t>
        </is>
      </c>
      <c r="I5" s="3" t="inlineStr">
        <is>
          <t>ln(L/K)</t>
        </is>
      </c>
    </row>
    <row r="6">
      <c r="A6" s="4" t="n">
        <v>1</v>
      </c>
      <c r="B6" s="4" t="n">
        <v>2350</v>
      </c>
      <c r="C6" s="4" t="n">
        <v>2334</v>
      </c>
      <c r="D6" s="4" t="n">
        <v>1570</v>
      </c>
      <c r="E6" s="5">
        <f>LN(B6)</f>
        <v/>
      </c>
      <c r="F6" s="5">
        <f>LN(C6)</f>
        <v/>
      </c>
      <c r="G6" s="5">
        <f>LN(D6)</f>
        <v/>
      </c>
      <c r="H6" s="5">
        <f>E6-G6</f>
        <v/>
      </c>
      <c r="I6" s="5">
        <f>F6-G6</f>
        <v/>
      </c>
    </row>
    <row r="7">
      <c r="A7" s="4" t="n">
        <v>2</v>
      </c>
      <c r="B7" s="4" t="n">
        <v>2470</v>
      </c>
      <c r="C7" s="4" t="n">
        <v>2425</v>
      </c>
      <c r="D7" s="4" t="n">
        <v>1850</v>
      </c>
      <c r="E7" s="5">
        <f>LN(B7)</f>
        <v/>
      </c>
      <c r="F7" s="5">
        <f>LN(C7)</f>
        <v/>
      </c>
      <c r="G7" s="5">
        <f>LN(D7)</f>
        <v/>
      </c>
      <c r="H7" s="5">
        <f>E7-G7</f>
        <v/>
      </c>
      <c r="I7" s="5">
        <f>F7-G7</f>
        <v/>
      </c>
    </row>
    <row r="8">
      <c r="A8" s="4" t="n">
        <v>3</v>
      </c>
      <c r="B8" s="4" t="n">
        <v>2110</v>
      </c>
      <c r="C8" s="4" t="n">
        <v>2230</v>
      </c>
      <c r="D8" s="4" t="n">
        <v>1150</v>
      </c>
      <c r="E8" s="5">
        <f>LN(B8)</f>
        <v/>
      </c>
      <c r="F8" s="5">
        <f>LN(C8)</f>
        <v/>
      </c>
      <c r="G8" s="5">
        <f>LN(D8)</f>
        <v/>
      </c>
      <c r="H8" s="5">
        <f>E8-G8</f>
        <v/>
      </c>
      <c r="I8" s="5">
        <f>F8-G8</f>
        <v/>
      </c>
    </row>
    <row r="9">
      <c r="A9" s="4" t="n">
        <v>4</v>
      </c>
      <c r="B9" s="4" t="n">
        <v>2560</v>
      </c>
      <c r="C9" s="4" t="n">
        <v>2463</v>
      </c>
      <c r="D9" s="4" t="n">
        <v>1940</v>
      </c>
      <c r="E9" s="5">
        <f>LN(B9)</f>
        <v/>
      </c>
      <c r="F9" s="5">
        <f>LN(C9)</f>
        <v/>
      </c>
      <c r="G9" s="5">
        <f>LN(D9)</f>
        <v/>
      </c>
      <c r="H9" s="5">
        <f>E9-G9</f>
        <v/>
      </c>
      <c r="I9" s="5">
        <f>F9-G9</f>
        <v/>
      </c>
    </row>
    <row r="10">
      <c r="A10" s="4" t="n">
        <v>5</v>
      </c>
      <c r="B10" s="4" t="n">
        <v>2650</v>
      </c>
      <c r="C10" s="4" t="n">
        <v>2565</v>
      </c>
      <c r="D10" s="4" t="n">
        <v>2450</v>
      </c>
      <c r="E10" s="5">
        <f>LN(B10)</f>
        <v/>
      </c>
      <c r="F10" s="5">
        <f>LN(C10)</f>
        <v/>
      </c>
      <c r="G10" s="5">
        <f>LN(D10)</f>
        <v/>
      </c>
      <c r="H10" s="5">
        <f>E10-G10</f>
        <v/>
      </c>
      <c r="I10" s="5">
        <f>F10-G10</f>
        <v/>
      </c>
    </row>
    <row r="11">
      <c r="A11" s="4" t="n">
        <v>6</v>
      </c>
      <c r="B11" s="4" t="n">
        <v>2240</v>
      </c>
      <c r="C11" s="4" t="n">
        <v>2278</v>
      </c>
      <c r="D11" s="4" t="n">
        <v>1340</v>
      </c>
      <c r="E11" s="5">
        <f>LN(B11)</f>
        <v/>
      </c>
      <c r="F11" s="5">
        <f>LN(C11)</f>
        <v/>
      </c>
      <c r="G11" s="5">
        <f>LN(D11)</f>
        <v/>
      </c>
      <c r="H11" s="5">
        <f>E11-G11</f>
        <v/>
      </c>
      <c r="I11" s="5">
        <f>F11-G11</f>
        <v/>
      </c>
    </row>
    <row r="12">
      <c r="A12" s="4" t="n">
        <v>7</v>
      </c>
      <c r="B12" s="4" t="n">
        <v>2430</v>
      </c>
      <c r="C12" s="4" t="n">
        <v>2380</v>
      </c>
      <c r="D12" s="4" t="n">
        <v>1700</v>
      </c>
      <c r="E12" s="5">
        <f>LN(B12)</f>
        <v/>
      </c>
      <c r="F12" s="5">
        <f>LN(C12)</f>
        <v/>
      </c>
      <c r="G12" s="5">
        <f>LN(D12)</f>
        <v/>
      </c>
      <c r="H12" s="5">
        <f>E12-G12</f>
        <v/>
      </c>
      <c r="I12" s="5">
        <f>F12-G12</f>
        <v/>
      </c>
    </row>
    <row r="13">
      <c r="A13" s="4" t="n">
        <v>8</v>
      </c>
      <c r="B13" s="4" t="n">
        <v>2530</v>
      </c>
      <c r="C13" s="4" t="n">
        <v>2437</v>
      </c>
      <c r="D13" s="4" t="n">
        <v>1860</v>
      </c>
      <c r="E13" s="5">
        <f>LN(B13)</f>
        <v/>
      </c>
      <c r="F13" s="5">
        <f>LN(C13)</f>
        <v/>
      </c>
      <c r="G13" s="5">
        <f>LN(D13)</f>
        <v/>
      </c>
      <c r="H13" s="5">
        <f>E13-G13</f>
        <v/>
      </c>
      <c r="I13" s="5">
        <f>F13-G13</f>
        <v/>
      </c>
    </row>
    <row r="14">
      <c r="A14" s="4" t="n">
        <v>9</v>
      </c>
      <c r="B14" s="4" t="n">
        <v>2550</v>
      </c>
      <c r="C14" s="4" t="n">
        <v>2446</v>
      </c>
      <c r="D14" s="4" t="n">
        <v>1880</v>
      </c>
      <c r="E14" s="5">
        <f>LN(B14)</f>
        <v/>
      </c>
      <c r="F14" s="5">
        <f>LN(C14)</f>
        <v/>
      </c>
      <c r="G14" s="5">
        <f>LN(D14)</f>
        <v/>
      </c>
      <c r="H14" s="5">
        <f>E14-G14</f>
        <v/>
      </c>
      <c r="I14" s="5">
        <f>F14-G14</f>
        <v/>
      </c>
    </row>
    <row r="15">
      <c r="A15" s="4" t="n">
        <v>10</v>
      </c>
      <c r="B15" s="4" t="n">
        <v>2450</v>
      </c>
      <c r="C15" s="4" t="n">
        <v>2403</v>
      </c>
      <c r="D15" s="4" t="n">
        <v>1790</v>
      </c>
      <c r="E15" s="5">
        <f>LN(B15)</f>
        <v/>
      </c>
      <c r="F15" s="5">
        <f>LN(C15)</f>
        <v/>
      </c>
      <c r="G15" s="5">
        <f>LN(D15)</f>
        <v/>
      </c>
      <c r="H15" s="5">
        <f>E15-G15</f>
        <v/>
      </c>
      <c r="I15" s="5">
        <f>F15-G15</f>
        <v/>
      </c>
    </row>
    <row r="16">
      <c r="A16" s="4" t="n">
        <v>11</v>
      </c>
      <c r="B16" s="4" t="n">
        <v>2290</v>
      </c>
      <c r="C16" s="4" t="n">
        <v>2301</v>
      </c>
      <c r="D16" s="4" t="n">
        <v>1480</v>
      </c>
      <c r="E16" s="5">
        <f>LN(B16)</f>
        <v/>
      </c>
      <c r="F16" s="5">
        <f>LN(C16)</f>
        <v/>
      </c>
      <c r="G16" s="5">
        <f>LN(D16)</f>
        <v/>
      </c>
      <c r="H16" s="5">
        <f>E16-G16</f>
        <v/>
      </c>
      <c r="I16" s="5">
        <f>F16-G16</f>
        <v/>
      </c>
    </row>
    <row r="17">
      <c r="A17" s="4" t="n">
        <v>12</v>
      </c>
      <c r="B17" s="4" t="n">
        <v>2160</v>
      </c>
      <c r="C17" s="4" t="n">
        <v>2253</v>
      </c>
      <c r="D17" s="4" t="n">
        <v>1240</v>
      </c>
      <c r="E17" s="5">
        <f>LN(B17)</f>
        <v/>
      </c>
      <c r="F17" s="5">
        <f>LN(C17)</f>
        <v/>
      </c>
      <c r="G17" s="5">
        <f>LN(D17)</f>
        <v/>
      </c>
      <c r="H17" s="5">
        <f>E17-G17</f>
        <v/>
      </c>
      <c r="I17" s="5">
        <f>F17-G17</f>
        <v/>
      </c>
    </row>
    <row r="18">
      <c r="A18" s="4" t="n">
        <v>13</v>
      </c>
      <c r="B18" s="4" t="n">
        <v>2400</v>
      </c>
      <c r="C18" s="4" t="n">
        <v>2367</v>
      </c>
      <c r="D18" s="4" t="n">
        <v>1660</v>
      </c>
      <c r="E18" s="5">
        <f>LN(B18)</f>
        <v/>
      </c>
      <c r="F18" s="5">
        <f>LN(C18)</f>
        <v/>
      </c>
      <c r="G18" s="5">
        <f>LN(D18)</f>
        <v/>
      </c>
      <c r="H18" s="5">
        <f>E18-G18</f>
        <v/>
      </c>
      <c r="I18" s="5">
        <f>F18-G18</f>
        <v/>
      </c>
    </row>
    <row r="19">
      <c r="A19" s="4" t="n">
        <v>14</v>
      </c>
      <c r="B19" s="4" t="n">
        <v>2490</v>
      </c>
      <c r="C19" s="4" t="n">
        <v>2430</v>
      </c>
      <c r="D19" s="4" t="n">
        <v>1850</v>
      </c>
      <c r="E19" s="5">
        <f>LN(B19)</f>
        <v/>
      </c>
      <c r="F19" s="5">
        <f>LN(C19)</f>
        <v/>
      </c>
      <c r="G19" s="5">
        <f>LN(D19)</f>
        <v/>
      </c>
      <c r="H19" s="5">
        <f>E19-G19</f>
        <v/>
      </c>
      <c r="I19" s="5">
        <f>F19-G19</f>
        <v/>
      </c>
    </row>
    <row r="20">
      <c r="A20" s="4" t="n">
        <v>15</v>
      </c>
      <c r="B20" s="4" t="n">
        <v>2590</v>
      </c>
      <c r="C20" s="4" t="n">
        <v>2470</v>
      </c>
      <c r="D20" s="4" t="n">
        <v>2000</v>
      </c>
      <c r="E20" s="5">
        <f>LN(B20)</f>
        <v/>
      </c>
      <c r="F20" s="5">
        <f>LN(C20)</f>
        <v/>
      </c>
      <c r="G20" s="5">
        <f>LN(D20)</f>
        <v/>
      </c>
      <c r="H20" s="5">
        <f>E20-G20</f>
        <v/>
      </c>
      <c r="I20" s="5">
        <f>F20-G20</f>
        <v/>
      </c>
    </row>
    <row r="22">
      <c r="A22" s="2" t="inlineStr">
        <is>
          <t>Источник: Сборник задач к начальному курсу эконометрики (РАНХиГС), табл. 4.19.</t>
        </is>
      </c>
    </row>
    <row r="23">
      <c r="A23" s="2" t="inlineStr">
        <is>
          <t>ln L и ln K стоят рядом: так их можно сразу отдать ЛИНЕЙН и Пакету анализа.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4" customWidth="1" min="7" max="7"/>
  </cols>
  <sheetData>
    <row r="1">
      <c r="A1" s="1" t="inlineStr">
        <is>
          <t>1) Модель без ограничения (из задачи 4.17)</t>
        </is>
      </c>
    </row>
    <row r="2">
      <c r="A2" s="2" t="inlineStr">
        <is>
          <t>Модель: ln Q = ln α + β1·ln L + β2·ln K + ε. ЛИНЕЙН по двум соседним столбцам ln L и ln K.</t>
        </is>
      </c>
    </row>
    <row r="4">
      <c r="A4" s="6" t="inlineStr">
        <is>
          <t>n</t>
        </is>
      </c>
      <c r="B4" s="7">
        <f>COUNT(Данные!$E$6:$E$20)</f>
        <v/>
      </c>
    </row>
    <row r="5">
      <c r="A5" s="6" t="inlineStr">
        <is>
          <t>k — число параметров</t>
        </is>
      </c>
      <c r="B5" s="4" t="n">
        <v>3</v>
      </c>
    </row>
    <row r="6">
      <c r="A6" s="6" t="inlineStr">
        <is>
          <t>n − k</t>
        </is>
      </c>
      <c r="B6" s="7">
        <f>B4-B5</f>
        <v/>
      </c>
    </row>
    <row r="8">
      <c r="A8" s="3" t="inlineStr">
        <is>
          <t>Переменная</t>
        </is>
      </c>
      <c r="B8" s="3" t="inlineStr">
        <is>
          <t>Коэффициент</t>
        </is>
      </c>
      <c r="C8" s="3" t="inlineStr">
        <is>
          <t>Ст. ошибка</t>
        </is>
      </c>
      <c r="D8" s="3" t="inlineStr">
        <is>
          <t>t-статистика</t>
        </is>
      </c>
      <c r="E8" s="3" t="inlineStr">
        <is>
          <t>P-значение</t>
        </is>
      </c>
    </row>
    <row r="9">
      <c r="A9" s="8" t="inlineStr">
        <is>
          <t>const = ln α</t>
        </is>
      </c>
      <c r="B9" s="5">
        <f>INDEX(LINEST(Данные!$E$6:$E$20,Данные!$F$6:$G$20,TRUE,TRUE),1,3)</f>
        <v/>
      </c>
      <c r="C9" s="5">
        <f>INDEX(LINEST(Данные!$E$6:$E$20,Данные!$F$6:$G$20,TRUE,TRUE),2,3)</f>
        <v/>
      </c>
      <c r="D9" s="9">
        <f>B9/C9</f>
        <v/>
      </c>
      <c r="E9" s="5">
        <f>TDIST(ABS(D9),$B$6,2)</f>
        <v/>
      </c>
    </row>
    <row r="10">
      <c r="A10" s="8" t="inlineStr">
        <is>
          <t>ln L  (β1)</t>
        </is>
      </c>
      <c r="B10" s="5">
        <f>INDEX(LINEST(Данные!$E$6:$E$20,Данные!$F$6:$G$20,TRUE,TRUE),1,2)</f>
        <v/>
      </c>
      <c r="C10" s="5">
        <f>INDEX(LINEST(Данные!$E$6:$E$20,Данные!$F$6:$G$20,TRUE,TRUE),2,2)</f>
        <v/>
      </c>
      <c r="D10" s="9">
        <f>B10/C10</f>
        <v/>
      </c>
      <c r="E10" s="5">
        <f>TDIST(ABS(D10),$B$6,2)</f>
        <v/>
      </c>
    </row>
    <row r="11">
      <c r="A11" s="8" t="inlineStr">
        <is>
          <t>ln K  (β2)</t>
        </is>
      </c>
      <c r="B11" s="5">
        <f>INDEX(LINEST(Данные!$E$6:$E$20,Данные!$F$6:$G$20,TRUE,TRUE),1,1)</f>
        <v/>
      </c>
      <c r="C11" s="5">
        <f>INDEX(LINEST(Данные!$E$6:$E$20,Данные!$F$6:$G$20,TRUE,TRUE),2,1)</f>
        <v/>
      </c>
      <c r="D11" s="9">
        <f>B11/C11</f>
        <v/>
      </c>
      <c r="E11" s="5">
        <f>TDIST(ABS(D11),$B$6,2)</f>
        <v/>
      </c>
    </row>
    <row r="13">
      <c r="A13" s="6" t="inlineStr">
        <is>
          <t>R²</t>
        </is>
      </c>
      <c r="B13" s="10">
        <f>INDEX(LINEST(Данные!$E$6:$E$20,Данные!$F$6:$G$20,TRUE,TRUE),3,1)</f>
        <v/>
      </c>
    </row>
    <row r="14">
      <c r="A14" s="6" t="inlineStr">
        <is>
          <t>R²adj</t>
        </is>
      </c>
      <c r="B14" s="10">
        <f>1-(B4-1)/(B4-B5)*(1-B13)</f>
        <v/>
      </c>
      <c r="C14" s="11" t="inlineStr">
        <is>
          <t>1 − (n − 1)/(n − k)·(1 − R²)</t>
        </is>
      </c>
    </row>
    <row r="15">
      <c r="A15" s="6" t="inlineStr">
        <is>
          <t>ESS = Σe²</t>
        </is>
      </c>
      <c r="B15" s="12">
        <f>INDEX(LINEST(Данные!$E$6:$E$20,Данные!$F$6:$G$20,TRUE,TRUE),5,2)</f>
        <v/>
      </c>
    </row>
    <row r="16">
      <c r="A16" s="6" t="inlineStr">
        <is>
          <t>F</t>
        </is>
      </c>
      <c r="B16" s="13">
        <f>B13/(1-B13)*(B4-B5)/(B5-1)</f>
        <v/>
      </c>
      <c r="C16" s="11" t="inlineStr">
        <is>
          <t>F = R²/(1 − R²) · (n − k)/(k − 1)</t>
        </is>
      </c>
    </row>
    <row r="17">
      <c r="A17" s="6" t="inlineStr">
        <is>
          <t>F критическое (5 %)</t>
        </is>
      </c>
      <c r="B17" s="9">
        <f>FINV(0.05,B5-1,B4-B5)</f>
        <v/>
      </c>
    </row>
    <row r="18">
      <c r="A18" s="6" t="inlineStr">
        <is>
          <t>t критическое (5 %)</t>
        </is>
      </c>
      <c r="B18" s="9">
        <f>TINV(0.05,B6)</f>
        <v/>
      </c>
      <c r="C18" s="11" t="inlineStr">
        <is>
          <t>=СТЬЮДРАСПОБР(0,05; n − k)</t>
        </is>
      </c>
    </row>
    <row r="19">
      <c r="A19" s="6" t="inlineStr">
        <is>
          <t>α = e^const</t>
        </is>
      </c>
      <c r="B19" s="9">
        <f>EXP(B9)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4" customWidth="1" min="7" max="7"/>
  </cols>
  <sheetData>
    <row r="1">
      <c r="A1" s="1" t="inlineStr">
        <is>
          <t>2) Модель с ограничением β1 + β2 = 1</t>
        </is>
      </c>
    </row>
    <row r="2">
      <c r="A2" s="2" t="inlineStr">
        <is>
          <t>Подставляем β2 = 1 − β1: ln(Q/K) = ln α + β1·ln(L/K) + ε. Остался один регрессор.</t>
        </is>
      </c>
    </row>
    <row r="3">
      <c r="A3" s="6" t="inlineStr">
        <is>
          <t>n</t>
        </is>
      </c>
      <c r="B3" s="7">
        <f>COUNT(Данные!$E$6:$E$20)</f>
        <v/>
      </c>
    </row>
    <row r="5">
      <c r="A5" s="6" t="inlineStr">
        <is>
          <t>ln(Q/K) на ln(L/K)</t>
        </is>
      </c>
    </row>
    <row r="6">
      <c r="A6" s="3" t="inlineStr">
        <is>
          <t>Переменная</t>
        </is>
      </c>
      <c r="B6" s="3" t="inlineStr">
        <is>
          <t>Коэффициент</t>
        </is>
      </c>
      <c r="C6" s="3" t="inlineStr">
        <is>
          <t>Ст. ошибка</t>
        </is>
      </c>
      <c r="D6" s="3" t="inlineStr">
        <is>
          <t>t-статистика</t>
        </is>
      </c>
      <c r="E6" s="3" t="inlineStr">
        <is>
          <t>P-значение</t>
        </is>
      </c>
    </row>
    <row r="7">
      <c r="A7" s="8" t="inlineStr">
        <is>
          <t>const</t>
        </is>
      </c>
      <c r="B7" s="5">
        <f>INDEX(LINEST(Данные!$H$6:$H$20,Данные!$I$6:$I$20,TRUE,TRUE),1,2)</f>
        <v/>
      </c>
      <c r="C7" s="5">
        <f>INDEX(LINEST(Данные!$H$6:$H$20,Данные!$I$6:$I$20,TRUE,TRUE),2,2)</f>
        <v/>
      </c>
      <c r="D7" s="9">
        <f>B7/C7</f>
        <v/>
      </c>
      <c r="E7" s="5">
        <f>TDIST(ABS(D7),$B$3-2,2)</f>
        <v/>
      </c>
    </row>
    <row r="8">
      <c r="A8" s="8" t="inlineStr">
        <is>
          <t>ln(L/K)</t>
        </is>
      </c>
      <c r="B8" s="5">
        <f>INDEX(LINEST(Данные!$H$6:$H$20,Данные!$I$6:$I$20,TRUE,TRUE),1,1)</f>
        <v/>
      </c>
      <c r="C8" s="5">
        <f>INDEX(LINEST(Данные!$H$6:$H$20,Данные!$I$6:$I$20,TRUE,TRUE),2,1)</f>
        <v/>
      </c>
      <c r="D8" s="9">
        <f>B8/C8</f>
        <v/>
      </c>
      <c r="E8" s="5">
        <f>TDIST(ABS(D8),$B$3-2,2)</f>
        <v/>
      </c>
    </row>
    <row r="9">
      <c r="A9" s="6" t="inlineStr">
        <is>
          <t>R²</t>
        </is>
      </c>
      <c r="B9" s="10">
        <f>RSQ(Данные!$H$6:$H$20,Данные!$I$6:$I$20)</f>
        <v/>
      </c>
      <c r="C9" s="11" t="inlineStr">
        <is>
          <t>=КВПИРСОН(y; x)</t>
        </is>
      </c>
    </row>
    <row r="10">
      <c r="A10" s="6" t="inlineStr">
        <is>
          <t>R²adj</t>
        </is>
      </c>
      <c r="B10" s="10">
        <f>1-($B$3-1)/($B$3-2)*(1-B9)</f>
        <v/>
      </c>
      <c r="C10" s="11" t="inlineStr">
        <is>
          <t>1 − (n − 1)/(n − k)·(1 − R²)</t>
        </is>
      </c>
    </row>
    <row r="11">
      <c r="A11" s="6" t="inlineStr">
        <is>
          <t>ESS = Σe²</t>
        </is>
      </c>
      <c r="B11" s="12">
        <f>INDEX(LINEST(Данные!$H$6:$H$20,Данные!$I$6:$I$20,TRUE,TRUE),5,2)</f>
        <v/>
      </c>
      <c r="C11" s="11" t="inlineStr">
        <is>
          <t>пятая строка ЛИНЕЙН, справа — остаточная сумма</t>
        </is>
      </c>
    </row>
    <row r="15">
      <c r="A15" s="6" t="inlineStr">
        <is>
          <t>Оценки параметров</t>
        </is>
      </c>
    </row>
    <row r="16">
      <c r="A16" s="6" t="inlineStr">
        <is>
          <t>β1</t>
        </is>
      </c>
      <c r="B16" s="14">
        <f>B8</f>
        <v/>
      </c>
    </row>
    <row r="17">
      <c r="A17" s="6" t="inlineStr">
        <is>
          <t>β2 = 1 − β1</t>
        </is>
      </c>
      <c r="B17" s="14">
        <f>1-B16</f>
        <v/>
      </c>
    </row>
    <row r="18">
      <c r="A18" s="6" t="inlineStr">
        <is>
          <t>α = e^const</t>
        </is>
      </c>
      <c r="B18" s="14">
        <f>EXP(B7)</f>
        <v/>
      </c>
    </row>
    <row r="19">
      <c r="A19" s="6" t="inlineStr">
        <is>
          <t>s(β1) без ограничения</t>
        </is>
      </c>
      <c r="B19" s="15">
        <f>'1) Без ограничения'!C10</f>
        <v/>
      </c>
    </row>
    <row r="20">
      <c r="A20" s="6" t="inlineStr">
        <is>
          <t>s(β1) с ограничением</t>
        </is>
      </c>
      <c r="B20" s="9">
        <f>C8</f>
        <v/>
      </c>
    </row>
    <row r="21">
      <c r="A21" s="6" t="inlineStr">
        <is>
          <t>Во сколько раз точнее</t>
        </is>
      </c>
      <c r="B21" s="16">
        <f>B19/B20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" customWidth="1" min="3" max="3"/>
    <col width="50" customWidth="1" min="4" max="4"/>
  </cols>
  <sheetData>
    <row r="1">
      <c r="A1" s="1" t="inlineStr">
        <is>
          <t>3) Проверка ограничения β1 + β2 = 1</t>
        </is>
      </c>
    </row>
    <row r="2">
      <c r="A2" s="2" t="inlineStr">
        <is>
          <t>H₀: β1 + β2 = 1. Сравниваются остаточные суммы: зависимые переменные разные (ln Q и ln(Q/K)), поэтому R² сравнивать нельзя.</t>
        </is>
      </c>
    </row>
    <row r="4">
      <c r="A4" s="6" t="inlineStr">
        <is>
          <t>ESS_R (с ограничением)</t>
        </is>
      </c>
      <c r="B4" s="17">
        <f>'2) С ограничением'!B11</f>
        <v/>
      </c>
    </row>
    <row r="5">
      <c r="A5" s="6" t="inlineStr">
        <is>
          <t>ESS_UR (без ограничения)</t>
        </is>
      </c>
      <c r="B5" s="17">
        <f>'1) Без ограничения'!B15</f>
        <v/>
      </c>
    </row>
    <row r="6">
      <c r="A6" s="6" t="inlineStr">
        <is>
          <t>q — число ограничений</t>
        </is>
      </c>
      <c r="B6" s="4" t="n">
        <v>1</v>
      </c>
    </row>
    <row r="7">
      <c r="A7" s="6" t="inlineStr">
        <is>
          <t>n − k</t>
        </is>
      </c>
      <c r="B7" s="18">
        <f>'1) Без ограничения'!B6</f>
        <v/>
      </c>
    </row>
    <row r="8">
      <c r="A8" s="6" t="inlineStr">
        <is>
          <t>F</t>
        </is>
      </c>
      <c r="B8" s="10">
        <f>((B4-B5)/B6)/(B5/B7)</f>
        <v/>
      </c>
      <c r="D8" s="11" t="inlineStr">
        <is>
          <t>F = ((ESS_R − ESS_UR)/q) / (ESS_UR/(n − k))</t>
        </is>
      </c>
    </row>
    <row r="9">
      <c r="A9" s="6" t="inlineStr">
        <is>
          <t>F критическое (5 %)</t>
        </is>
      </c>
      <c r="B9" s="9">
        <f>FINV(0.05,B6,B7)</f>
        <v/>
      </c>
      <c r="D9" s="11" t="inlineStr">
        <is>
          <t>=FРАСПОБР(0,05; q; n − k)</t>
        </is>
      </c>
    </row>
    <row r="10">
      <c r="A10" s="6" t="inlineStr">
        <is>
          <t>P-значение</t>
        </is>
      </c>
      <c r="B10" s="5">
        <f>FDIST(B8,B6,B7)</f>
        <v/>
      </c>
    </row>
    <row r="11">
      <c r="A11" s="6" t="inlineStr">
        <is>
          <t>Вывод</t>
        </is>
      </c>
      <c r="B11" s="19">
        <f>IF(B8&gt;B9,"H₀ отвергается","H₀ не отвергается: отдача постоянная")</f>
        <v/>
      </c>
    </row>
    <row r="13">
      <c r="A13" s="6" t="inlineStr">
        <is>
          <t>Почему R² сравнивать нельзя</t>
        </is>
      </c>
    </row>
    <row r="14">
      <c r="A14" s="6" t="inlineStr">
        <is>
          <t>TSS для ln Q</t>
        </is>
      </c>
      <c r="B14" s="5">
        <f>DEVSQ(Данные!$E$6:$E$20)</f>
        <v/>
      </c>
      <c r="D14" s="11" t="inlineStr">
        <is>
          <t>=КВАДРОТКЛ(lnQ)</t>
        </is>
      </c>
    </row>
    <row r="15">
      <c r="A15" s="6" t="inlineStr">
        <is>
          <t>TSS для ln(Q/K)</t>
        </is>
      </c>
      <c r="B15" s="5">
        <f>DEVSQ(Данные!$H$6:$H$20)</f>
        <v/>
      </c>
    </row>
    <row r="16">
      <c r="A16" s="6" t="inlineStr">
        <is>
          <t>R² без ограничения</t>
        </is>
      </c>
      <c r="B16" s="20">
        <f>'1) Без ограничения'!B13</f>
        <v/>
      </c>
    </row>
    <row r="17">
      <c r="A17" s="6" t="inlineStr">
        <is>
          <t>R² с ограничением</t>
        </is>
      </c>
      <c r="B17" s="20">
        <f>'2) С ограничением'!B9</f>
        <v/>
      </c>
    </row>
    <row r="19">
      <c r="A19" s="2" t="inlineStr">
        <is>
          <t>R² с ограничением больше, хотя ограничение не может улучшить подгонку: у моделей разные TSS.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2026-09-27T21:54:15Z</dcterms:created>
  <dcterms:modified xmlns:dcterms="http://purl.org/dc/terms/" xmlns:xsi="http://www.w3.org/2001/XMLSchema-instance" xsi:type="dcterms:W3CDTF">2026-09-27T21:54:15Z</dcterms:modified>
</cp:coreProperties>
</file>