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Данные" sheetId="1" state="visible" r:id="rId1"/>
    <sheet xmlns:r="http://schemas.openxmlformats.org/officeDocument/2006/relationships" name="а-б) Регрессия" sheetId="2" state="visible" r:id="rId2"/>
    <sheet xmlns:r="http://schemas.openxmlformats.org/officeDocument/2006/relationships" name="в-г) Мультиколлинеарность" sheetId="3" state="visible" r:id="rId3"/>
    <sheet xmlns:r="http://schemas.openxmlformats.org/officeDocument/2006/relationships" name="д) Парные" sheetId="4" state="visible" r:id="rId4"/>
    <sheet xmlns:r="http://schemas.openxmlformats.org/officeDocument/2006/relationships" name="е) CONS на GNP" sheetId="5" state="visible" r:id="rId5"/>
    <sheet xmlns:r="http://schemas.openxmlformats.org/officeDocument/2006/relationships" name="ж) Сбережения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0.0"/>
    <numFmt numFmtId="165" formatCode="0.0000"/>
    <numFmt numFmtId="166" formatCode="0.000"/>
    <numFmt numFmtId="167" formatCode="0.0E+00"/>
  </numFmts>
  <fonts count="8">
    <font>
      <name val="Calibri"/>
      <family val="2"/>
      <color theme="1"/>
      <sz val="11"/>
      <scheme val="minor"/>
    </font>
    <font>
      <name val="Arial"/>
      <b val="1"/>
      <color rgb="001F4E79"/>
      <sz val="14"/>
    </font>
    <font>
      <name val="Arial"/>
      <i val="1"/>
      <color rgb="00595959"/>
      <sz val="9"/>
    </font>
    <font>
      <name val="Arial"/>
      <b val="1"/>
    </font>
    <font>
      <name val="Arial"/>
      <color rgb="000000FF"/>
    </font>
    <font>
      <name val="Arial"/>
    </font>
    <font>
      <name val="Arial"/>
      <color rgb="00595959"/>
      <sz val="9"/>
    </font>
    <font>
      <name val="Arial"/>
      <color rgb="00008000"/>
    </font>
  </fonts>
  <fills count="4">
    <fill>
      <patternFill/>
    </fill>
    <fill>
      <patternFill patternType="gray125"/>
    </fill>
    <fill>
      <patternFill patternType="solid">
        <fgColor rgb="00D9D9D9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wrapText="1"/>
    </xf>
    <xf numFmtId="1" fontId="4" fillId="0" borderId="1" pivotButton="0" quotePrefix="0" xfId="0"/>
    <xf numFmtId="1" fontId="5" fillId="0" borderId="1" pivotButton="0" quotePrefix="0" xfId="0"/>
    <xf numFmtId="164" fontId="4" fillId="0" borderId="1" pivotButton="0" quotePrefix="0" xfId="0"/>
    <xf numFmtId="0" fontId="3" fillId="0" borderId="0" pivotButton="0" quotePrefix="0" xfId="0"/>
    <xf numFmtId="0" fontId="5" fillId="0" borderId="0" pivotButton="0" quotePrefix="0" xfId="0"/>
    <xf numFmtId="165" fontId="5" fillId="0" borderId="1" pivotButton="0" quotePrefix="0" xfId="0"/>
    <xf numFmtId="166" fontId="5" fillId="0" borderId="1" pivotButton="0" quotePrefix="0" xfId="0"/>
    <xf numFmtId="165" fontId="5" fillId="3" borderId="1" pivotButton="0" quotePrefix="0" xfId="0"/>
    <xf numFmtId="0" fontId="6" fillId="0" borderId="0" pivotButton="0" quotePrefix="0" xfId="0"/>
    <xf numFmtId="2" fontId="5" fillId="0" borderId="1" pivotButton="0" quotePrefix="0" xfId="0"/>
    <xf numFmtId="2" fontId="5" fillId="3" borderId="1" pivotButton="0" quotePrefix="0" xfId="0"/>
    <xf numFmtId="167" fontId="5" fillId="0" borderId="1" pivotButton="0" quotePrefix="0" xfId="0"/>
    <xf numFmtId="0" fontId="5" fillId="3" borderId="1" pivotButton="0" quotePrefix="0" xfId="0"/>
    <xf numFmtId="166" fontId="5" fillId="3" borderId="1" pivotButton="0" quotePrefix="0" xfId="0"/>
    <xf numFmtId="164" fontId="5" fillId="3" borderId="1" pivotButton="0" quotePrefix="0" xfId="0"/>
    <xf numFmtId="165" fontId="7" fillId="0" borderId="1" pivotButton="0" quotePrefix="0" xfId="0"/>
    <xf numFmtId="164" fontId="5" fillId="0" borderId="1" pivotButton="0" quotePrefix="0" xfId="0"/>
    <xf numFmtId="166" fontId="7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6" customWidth="1" min="1" max="1"/>
    <col width="12" customWidth="1" min="2" max="2"/>
    <col width="12" customWidth="1" min="3" max="3"/>
    <col width="16" customWidth="1" min="4" max="4"/>
    <col width="12" customWidth="1" min="5" max="5"/>
  </cols>
  <sheetData>
    <row r="1">
      <c r="A1" s="1" t="inlineStr">
        <is>
          <t>Задача 10.4. Инвестиции, ВНП и потребление</t>
        </is>
      </c>
    </row>
    <row r="2">
      <c r="A2" s="2" t="inlineStr">
        <is>
          <t>Синий шрифт — исходные данные из условия; чёрный — формулы; зелёный — ссылки на другие листы.</t>
        </is>
      </c>
    </row>
    <row r="3">
      <c r="A3" s="2" t="inlineStr">
        <is>
          <t>Вопрос: есть ли мультиколлинеарность в регрессии INV на GNP и CONS и как от неё избавиться.</t>
        </is>
      </c>
    </row>
    <row r="5">
      <c r="A5" s="3" t="inlineStr">
        <is>
          <t>t</t>
        </is>
      </c>
      <c r="B5" s="3" t="inlineStr">
        <is>
          <t>GNP</t>
        </is>
      </c>
      <c r="C5" s="3" t="inlineStr">
        <is>
          <t>CONS</t>
        </is>
      </c>
      <c r="D5" s="3" t="inlineStr">
        <is>
          <t>S = GNP − CONS</t>
        </is>
      </c>
      <c r="E5" s="3" t="inlineStr">
        <is>
          <t>INV</t>
        </is>
      </c>
    </row>
    <row r="6">
      <c r="A6" s="4" t="n">
        <v>1</v>
      </c>
      <c r="B6" s="4" t="n">
        <v>240</v>
      </c>
      <c r="C6" s="4" t="n">
        <v>149</v>
      </c>
      <c r="D6" s="5">
        <f>B6-C6</f>
        <v/>
      </c>
      <c r="E6" s="6" t="n">
        <v>38.2</v>
      </c>
    </row>
    <row r="7">
      <c r="A7" s="4" t="n">
        <v>2</v>
      </c>
      <c r="B7" s="4" t="n">
        <v>248</v>
      </c>
      <c r="C7" s="4" t="n">
        <v>154</v>
      </c>
      <c r="D7" s="5">
        <f>B7-C7</f>
        <v/>
      </c>
      <c r="E7" s="6" t="n">
        <v>41.9</v>
      </c>
    </row>
    <row r="8">
      <c r="A8" s="4" t="n">
        <v>3</v>
      </c>
      <c r="B8" s="4" t="n">
        <v>261</v>
      </c>
      <c r="C8" s="4" t="n">
        <v>162</v>
      </c>
      <c r="D8" s="5">
        <f>B8-C8</f>
        <v/>
      </c>
      <c r="E8" s="6" t="n">
        <v>46.5</v>
      </c>
    </row>
    <row r="9">
      <c r="A9" s="4" t="n">
        <v>4</v>
      </c>
      <c r="B9" s="4" t="n">
        <v>274</v>
      </c>
      <c r="C9" s="4" t="n">
        <v>169</v>
      </c>
      <c r="D9" s="5">
        <f>B9-C9</f>
        <v/>
      </c>
      <c r="E9" s="6" t="n">
        <v>52.1</v>
      </c>
    </row>
    <row r="10">
      <c r="A10" s="4" t="n">
        <v>5</v>
      </c>
      <c r="B10" s="4" t="n">
        <v>273</v>
      </c>
      <c r="C10" s="4" t="n">
        <v>167</v>
      </c>
      <c r="D10" s="5">
        <f>B10-C10</f>
        <v/>
      </c>
      <c r="E10" s="6" t="n">
        <v>48.1</v>
      </c>
    </row>
    <row r="11">
      <c r="A11" s="4" t="n">
        <v>6</v>
      </c>
      <c r="B11" s="4" t="n">
        <v>269</v>
      </c>
      <c r="C11" s="4" t="n">
        <v>171</v>
      </c>
      <c r="D11" s="5">
        <f>B11-C11</f>
        <v/>
      </c>
      <c r="E11" s="6" t="n">
        <v>38.3</v>
      </c>
    </row>
    <row r="12">
      <c r="A12" s="4" t="n">
        <v>7</v>
      </c>
      <c r="B12" s="4" t="n">
        <v>283</v>
      </c>
      <c r="C12" s="4" t="n">
        <v>180</v>
      </c>
      <c r="D12" s="5">
        <f>B12-C12</f>
        <v/>
      </c>
      <c r="E12" s="6" t="n">
        <v>45.4</v>
      </c>
    </row>
    <row r="13">
      <c r="A13" s="4" t="n">
        <v>8</v>
      </c>
      <c r="B13" s="4" t="n">
        <v>296</v>
      </c>
      <c r="C13" s="4" t="n">
        <v>188</v>
      </c>
      <c r="D13" s="5">
        <f>B13-C13</f>
        <v/>
      </c>
      <c r="E13" s="6" t="n">
        <v>52.1</v>
      </c>
    </row>
    <row r="14">
      <c r="A14" s="4" t="n">
        <v>9</v>
      </c>
      <c r="B14" s="4" t="n">
        <v>312</v>
      </c>
      <c r="C14" s="4" t="n">
        <v>196</v>
      </c>
      <c r="D14" s="5">
        <f>B14-C14</f>
        <v/>
      </c>
      <c r="E14" s="6" t="n">
        <v>56.8</v>
      </c>
    </row>
    <row r="15">
      <c r="A15" s="4" t="n">
        <v>10</v>
      </c>
      <c r="B15" s="4" t="n">
        <v>319</v>
      </c>
      <c r="C15" s="4" t="n">
        <v>200</v>
      </c>
      <c r="D15" s="5">
        <f>B15-C15</f>
        <v/>
      </c>
      <c r="E15" s="6" t="n">
        <v>57.5</v>
      </c>
    </row>
    <row r="16">
      <c r="A16" s="4" t="n">
        <v>11</v>
      </c>
      <c r="B16" s="4" t="n">
        <v>318</v>
      </c>
      <c r="C16" s="4" t="n">
        <v>200</v>
      </c>
      <c r="D16" s="5">
        <f>B16-C16</f>
        <v/>
      </c>
      <c r="E16" s="6" t="n">
        <v>50.9</v>
      </c>
    </row>
    <row r="17">
      <c r="A17" s="4" t="n">
        <v>12</v>
      </c>
      <c r="B17" s="4" t="n">
        <v>325</v>
      </c>
      <c r="C17" s="4" t="n">
        <v>202</v>
      </c>
      <c r="D17" s="5">
        <f>B17-C17</f>
        <v/>
      </c>
      <c r="E17" s="6" t="n">
        <v>54.5</v>
      </c>
    </row>
    <row r="18">
      <c r="A18" s="4" t="n">
        <v>13</v>
      </c>
      <c r="B18" s="4" t="n">
        <v>317</v>
      </c>
      <c r="C18" s="4" t="n">
        <v>205</v>
      </c>
      <c r="D18" s="5">
        <f>B18-C18</f>
        <v/>
      </c>
      <c r="E18" s="6" t="n">
        <v>44.7</v>
      </c>
    </row>
    <row r="19">
      <c r="A19" s="4" t="n">
        <v>14</v>
      </c>
      <c r="B19" s="4" t="n">
        <v>327</v>
      </c>
      <c r="C19" s="4" t="n">
        <v>215</v>
      </c>
      <c r="D19" s="5">
        <f>B19-C19</f>
        <v/>
      </c>
      <c r="E19" s="6" t="n">
        <v>50.4</v>
      </c>
    </row>
    <row r="20">
      <c r="A20" s="4" t="n">
        <v>15</v>
      </c>
      <c r="B20" s="4" t="n">
        <v>350</v>
      </c>
      <c r="C20" s="4" t="n">
        <v>225</v>
      </c>
      <c r="D20" s="5">
        <f>B20-C20</f>
        <v/>
      </c>
      <c r="E20" s="6" t="n">
        <v>65.8</v>
      </c>
    </row>
    <row r="21">
      <c r="A21" s="4" t="n">
        <v>16</v>
      </c>
      <c r="B21" s="4" t="n">
        <v>361</v>
      </c>
      <c r="C21" s="4" t="n">
        <v>235</v>
      </c>
      <c r="D21" s="5">
        <f>B21-C21</f>
        <v/>
      </c>
      <c r="E21" s="6" t="n">
        <v>63.7</v>
      </c>
    </row>
    <row r="22">
      <c r="A22" s="4" t="n">
        <v>17</v>
      </c>
      <c r="B22" s="4" t="n">
        <v>372</v>
      </c>
      <c r="C22" s="4" t="n">
        <v>245</v>
      </c>
      <c r="D22" s="5">
        <f>B22-C22</f>
        <v/>
      </c>
      <c r="E22" s="6" t="n">
        <v>64</v>
      </c>
    </row>
    <row r="23">
      <c r="A23" s="4" t="n">
        <v>18</v>
      </c>
      <c r="B23" s="4" t="n">
        <v>385</v>
      </c>
      <c r="C23" s="4" t="n">
        <v>252</v>
      </c>
      <c r="D23" s="5">
        <f>B23-C23</f>
        <v/>
      </c>
      <c r="E23" s="6" t="n">
        <v>76.40000000000001</v>
      </c>
    </row>
    <row r="24">
      <c r="A24" s="4" t="n">
        <v>19</v>
      </c>
      <c r="B24" s="4" t="n">
        <v>402</v>
      </c>
      <c r="C24" s="4" t="n">
        <v>261</v>
      </c>
      <c r="D24" s="5">
        <f>B24-C24</f>
        <v/>
      </c>
      <c r="E24" s="6" t="n">
        <v>71.59999999999999</v>
      </c>
    </row>
    <row r="25">
      <c r="A25" s="4" t="n">
        <v>20</v>
      </c>
      <c r="B25" s="4" t="n">
        <v>412</v>
      </c>
      <c r="C25" s="4" t="n">
        <v>266</v>
      </c>
      <c r="D25" s="5">
        <f>B25-C25</f>
        <v/>
      </c>
      <c r="E25" s="6" t="n">
        <v>71.8</v>
      </c>
    </row>
    <row r="27">
      <c r="A27" s="2" t="inlineStr">
        <is>
          <t>Источник: Бородич С. А. Вводный курс эконометрики, гл. 10, упражнения и задачи, № 4 (вымышленная страна).</t>
        </is>
      </c>
    </row>
    <row r="28">
      <c r="A28" s="2" t="inlineStr">
        <is>
          <t>S = GNP − CONS — сбережения; нужен в п. ж). Столбцы GNP и CONS стоят рядом: так их можно сразу отдать ЛИНЕЙН и Пакету анализа.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  <col width="14" customWidth="1" min="5" max="5"/>
    <col width="3" customWidth="1" min="6" max="6"/>
    <col width="44" customWidth="1" min="7" max="7"/>
  </cols>
  <sheetData>
    <row r="1">
      <c r="A1" s="1" t="inlineStr">
        <is>
          <t>а–б) INV на GNP и CONS</t>
        </is>
      </c>
    </row>
    <row r="2">
      <c r="A2" s="2" t="inlineStr">
        <is>
          <t>Модель: INV = b0 + b1·GNP + b2·CONS + e. Оценивается функцией ЛИНЕЙН по двум соседним столбцам GNP и CONS.</t>
        </is>
      </c>
    </row>
    <row r="3">
      <c r="A3" s="2" t="inlineStr">
        <is>
          <t>ЛИНЕЙН выдаёт коэффициенты в обратном порядке столбцов, поэтому нужный достаётся через ИНДЕКС.</t>
        </is>
      </c>
    </row>
    <row r="5">
      <c r="A5" s="7" t="inlineStr">
        <is>
          <t>n</t>
        </is>
      </c>
      <c r="B5" s="5">
        <f>COUNT(Данные!$E$6:$E$25)</f>
        <v/>
      </c>
    </row>
    <row r="6">
      <c r="A6" s="7" t="inlineStr">
        <is>
          <t>k — число параметров</t>
        </is>
      </c>
      <c r="B6" s="4" t="n">
        <v>3</v>
      </c>
    </row>
    <row r="7">
      <c r="A7" s="7" t="inlineStr">
        <is>
          <t>n − k</t>
        </is>
      </c>
      <c r="B7" s="5">
        <f>B5-B6</f>
        <v/>
      </c>
    </row>
    <row r="9">
      <c r="A9" s="3" t="inlineStr">
        <is>
          <t>Переменная</t>
        </is>
      </c>
      <c r="B9" s="3" t="inlineStr">
        <is>
          <t>Коэффициент</t>
        </is>
      </c>
      <c r="C9" s="3" t="inlineStr">
        <is>
          <t>Ст. ошибка</t>
        </is>
      </c>
      <c r="D9" s="3" t="inlineStr">
        <is>
          <t>t-статистика</t>
        </is>
      </c>
      <c r="E9" s="3" t="inlineStr">
        <is>
          <t>P-значение</t>
        </is>
      </c>
    </row>
    <row r="10">
      <c r="A10" s="8" t="inlineStr">
        <is>
          <t>const</t>
        </is>
      </c>
      <c r="B10" s="9">
        <f>INDEX(LINEST(Данные!$E$6:$E$25,Данные!$B$6:$C$25,TRUE,TRUE),1,3)</f>
        <v/>
      </c>
      <c r="C10" s="9">
        <f>INDEX(LINEST(Данные!$E$6:$E$25,Данные!$B$6:$C$25,TRUE,TRUE),2,3)</f>
        <v/>
      </c>
      <c r="D10" s="10">
        <f>B10/C10</f>
        <v/>
      </c>
      <c r="E10" s="9">
        <f>TDIST(ABS(D10),$B$7,2)</f>
        <v/>
      </c>
    </row>
    <row r="11">
      <c r="A11" s="8" t="inlineStr">
        <is>
          <t>GNP</t>
        </is>
      </c>
      <c r="B11" s="9">
        <f>INDEX(LINEST(Данные!$E$6:$E$25,Данные!$B$6:$C$25,TRUE,TRUE),1,2)</f>
        <v/>
      </c>
      <c r="C11" s="9">
        <f>INDEX(LINEST(Данные!$E$6:$E$25,Данные!$B$6:$C$25,TRUE,TRUE),2,2)</f>
        <v/>
      </c>
      <c r="D11" s="10">
        <f>B11/C11</f>
        <v/>
      </c>
      <c r="E11" s="9">
        <f>TDIST(ABS(D11),$B$7,2)</f>
        <v/>
      </c>
    </row>
    <row r="12">
      <c r="A12" s="8" t="inlineStr">
        <is>
          <t>CONS</t>
        </is>
      </c>
      <c r="B12" s="9">
        <f>INDEX(LINEST(Данные!$E$6:$E$25,Данные!$B$6:$C$25,TRUE,TRUE),1,1)</f>
        <v/>
      </c>
      <c r="C12" s="9">
        <f>INDEX(LINEST(Данные!$E$6:$E$25,Данные!$B$6:$C$25,TRUE,TRUE),2,1)</f>
        <v/>
      </c>
      <c r="D12" s="10">
        <f>B12/C12</f>
        <v/>
      </c>
      <c r="E12" s="9">
        <f>TDIST(ABS(D12),$B$7,2)</f>
        <v/>
      </c>
    </row>
    <row r="14">
      <c r="A14" s="7" t="inlineStr">
        <is>
          <t>R²</t>
        </is>
      </c>
      <c r="B14" s="11">
        <f>INDEX(LINEST(Данные!$E$6:$E$25,Данные!$B$6:$C$25,TRUE,TRUE),3,1)</f>
        <v/>
      </c>
    </row>
    <row r="15">
      <c r="A15" s="7" t="inlineStr">
        <is>
          <t>R²adj</t>
        </is>
      </c>
      <c r="B15" s="11">
        <f>1-(B5-1)/(B5-B6)*(1-B14)</f>
        <v/>
      </c>
      <c r="C15" s="12" t="inlineStr">
        <is>
          <t>1 − (n − 1)/(n − k)·(1 − R²)</t>
        </is>
      </c>
    </row>
    <row r="16">
      <c r="A16" s="7" t="inlineStr">
        <is>
          <t>RSS (объяснённая)</t>
        </is>
      </c>
      <c r="B16" s="13">
        <f>INDEX(LINEST(Данные!$E$6:$E$25,Данные!$B$6:$C$25,TRUE,TRUE),5,1)</f>
        <v/>
      </c>
    </row>
    <row r="17">
      <c r="A17" s="7" t="inlineStr">
        <is>
          <t>ESS = Σe² (остаточная)</t>
        </is>
      </c>
      <c r="B17" s="14">
        <f>INDEX(LINEST(Данные!$E$6:$E$25,Данные!$B$6:$C$25,TRUE,TRUE),5,2)</f>
        <v/>
      </c>
    </row>
    <row r="18">
      <c r="A18" s="7" t="inlineStr">
        <is>
          <t>TSS = RSS + ESS</t>
        </is>
      </c>
      <c r="B18" s="13">
        <f>B16+B17</f>
        <v/>
      </c>
      <c r="C18" s="12" t="inlineStr">
        <is>
          <t>=КВАДРОТКЛ(INV) даёт то же</t>
        </is>
      </c>
    </row>
    <row r="20">
      <c r="A20" s="7" t="inlineStr">
        <is>
          <t>F</t>
        </is>
      </c>
      <c r="B20" s="14">
        <f>B14/(1-B14)*(B5-B6)/(B6-1)</f>
        <v/>
      </c>
      <c r="C20" s="12" t="inlineStr">
        <is>
          <t>F = R²/(1 − R²) · (n − k)/(k − 1)</t>
        </is>
      </c>
    </row>
    <row r="21">
      <c r="A21" s="7" t="inlineStr">
        <is>
          <t>F критическое (5 %)</t>
        </is>
      </c>
      <c r="B21" s="10">
        <f>FINV(0.05,B6-1,B5-B6)</f>
        <v/>
      </c>
      <c r="C21" s="12" t="inlineStr">
        <is>
          <t>=FРАСПОБР(0,05; k − 1; n − k)</t>
        </is>
      </c>
    </row>
    <row r="22">
      <c r="A22" s="7" t="inlineStr">
        <is>
          <t>P-значение F</t>
        </is>
      </c>
      <c r="B22" s="15">
        <f>FDIST(B20,B6-1,B5-B6)</f>
        <v/>
      </c>
      <c r="C22" s="12" t="inlineStr">
        <is>
          <t>=FРАСП(F; k − 1; n − k)</t>
        </is>
      </c>
    </row>
    <row r="23">
      <c r="A23" s="7" t="inlineStr">
        <is>
          <t>t критическое (5 %)</t>
        </is>
      </c>
      <c r="B23" s="10">
        <f>TINV(0.05,B7)</f>
        <v/>
      </c>
      <c r="C23" s="12" t="inlineStr">
        <is>
          <t>=СТЬЮДРАСПОБР(0,05; n − k), двусторонний</t>
        </is>
      </c>
    </row>
    <row r="25">
      <c r="A25" s="7" t="inlineStr">
        <is>
          <t>Вывод по F</t>
        </is>
      </c>
      <c r="B25" s="16">
        <f>IF(B20&gt;B21,"регрессия в целом значима","регрессия незначима")</f>
        <v/>
      </c>
    </row>
    <row r="26">
      <c r="A26" s="7" t="inlineStr">
        <is>
          <t>GNP</t>
        </is>
      </c>
      <c r="B26" s="16">
        <f>IF(ABS(D11)&gt;B23,"значим","незначим")</f>
        <v/>
      </c>
    </row>
    <row r="27">
      <c r="A27" s="7" t="inlineStr">
        <is>
          <t>CONS</t>
        </is>
      </c>
      <c r="B27" s="16">
        <f>IF(ABS(D12)&gt;B23,"значим","незначим")</f>
        <v/>
      </c>
    </row>
    <row r="29">
      <c r="A29" s="2" t="inlineStr">
        <is>
          <t>Типичная картина мультиколлинеарности: регрессия в целом значима, R² высокий, а коэффициент при CONS незначим и с «неожиданным» знаком.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  <col width="12" customWidth="1" min="4" max="4"/>
    <col width="3" customWidth="1" min="5" max="5"/>
    <col width="44" customWidth="1" min="6" max="6"/>
  </cols>
  <sheetData>
    <row r="1">
      <c r="A1" s="1" t="inlineStr">
        <is>
          <t>в–г) Диагностика мультиколлинеарности</t>
        </is>
      </c>
    </row>
    <row r="2">
      <c r="A2" s="2" t="inlineStr">
        <is>
          <t>Корреляции, VIF и F-тест вспомогательной регрессии CONS на GNP.</t>
        </is>
      </c>
    </row>
    <row r="4">
      <c r="A4" s="3" t="inlineStr"/>
      <c r="B4" s="3" t="inlineStr">
        <is>
          <t>INV</t>
        </is>
      </c>
      <c r="C4" s="3" t="inlineStr">
        <is>
          <t>GNP</t>
        </is>
      </c>
      <c r="D4" s="3" t="inlineStr">
        <is>
          <t>CONS</t>
        </is>
      </c>
    </row>
    <row r="5">
      <c r="A5" s="7" t="inlineStr">
        <is>
          <t>INV</t>
        </is>
      </c>
      <c r="B5" s="10">
        <f>CORREL(Данные!$E$6:$E$25,Данные!$E$6:$E$25)</f>
        <v/>
      </c>
      <c r="C5" s="10">
        <f>CORREL(Данные!$E$6:$E$25,Данные!$B$6:$B$25)</f>
        <v/>
      </c>
      <c r="D5" s="10">
        <f>CORREL(Данные!$E$6:$E$25,Данные!$C$6:$C$25)</f>
        <v/>
      </c>
    </row>
    <row r="6">
      <c r="A6" s="7" t="inlineStr">
        <is>
          <t>GNP</t>
        </is>
      </c>
      <c r="B6" s="10">
        <f>CORREL(Данные!$B$6:$B$25,Данные!$E$6:$E$25)</f>
        <v/>
      </c>
      <c r="C6" s="10">
        <f>CORREL(Данные!$B$6:$B$25,Данные!$B$6:$B$25)</f>
        <v/>
      </c>
      <c r="D6" s="17">
        <f>CORREL(Данные!$B$6:$B$25,Данные!$C$6:$C$25)</f>
        <v/>
      </c>
      <c r="F6" s="12" t="inlineStr">
        <is>
          <t>=КОРРЕЛ(x; y). Выделено: корреляция двух регрессоров</t>
        </is>
      </c>
    </row>
    <row r="7">
      <c r="A7" s="7" t="inlineStr">
        <is>
          <t>CONS</t>
        </is>
      </c>
      <c r="B7" s="10">
        <f>CORREL(Данные!$C$6:$C$25,Данные!$E$6:$E$25)</f>
        <v/>
      </c>
      <c r="C7" s="17">
        <f>CORREL(Данные!$C$6:$C$25,Данные!$B$6:$B$25)</f>
        <v/>
      </c>
      <c r="D7" s="10">
        <f>CORREL(Данные!$C$6:$C$25,Данные!$C$6:$C$25)</f>
        <v/>
      </c>
    </row>
    <row r="10">
      <c r="A10" s="7" t="inlineStr">
        <is>
          <t>n</t>
        </is>
      </c>
      <c r="B10" s="5">
        <f>COUNT(Данные!$B$6:$B$25)</f>
        <v/>
      </c>
    </row>
    <row r="11">
      <c r="A11" s="7" t="inlineStr">
        <is>
          <t>m — число объясняющих переменных</t>
        </is>
      </c>
      <c r="B11" s="4" t="n">
        <v>2</v>
      </c>
      <c r="C11" s="12" t="inlineStr">
        <is>
          <t>без константы</t>
        </is>
      </c>
    </row>
    <row r="12">
      <c r="A12" s="7" t="inlineStr">
        <is>
          <t>R²j (CONS на GNP)</t>
        </is>
      </c>
      <c r="B12" s="9">
        <f>RSQ(Данные!$C$6:$C$25,Данные!$B$6:$B$25)</f>
        <v/>
      </c>
      <c r="C12" s="12" t="inlineStr">
        <is>
          <t>=КВПИРСОН(CONS; GNP)</t>
        </is>
      </c>
    </row>
    <row r="13">
      <c r="A13" s="7" t="inlineStr">
        <is>
          <t>VIF = 1/(1 − R²j)</t>
        </is>
      </c>
      <c r="B13" s="18">
        <f>1/(1-B12)</f>
        <v/>
      </c>
      <c r="C13" s="12" t="inlineStr">
        <is>
          <t>&gt; 10 — серьёзная мультиколлинеарность</t>
        </is>
      </c>
    </row>
    <row r="14">
      <c r="A14" s="7" t="inlineStr">
        <is>
          <t>√VIF</t>
        </is>
      </c>
      <c r="B14" s="13">
        <f>SQRT(B13)</f>
        <v/>
      </c>
      <c r="C14" s="12" t="inlineStr">
        <is>
          <t>во сколько раз растёт стандартная ошибка</t>
        </is>
      </c>
    </row>
    <row r="15">
      <c r="A15" s="7" t="inlineStr">
        <is>
          <t>Fj</t>
        </is>
      </c>
      <c r="B15" s="18">
        <f>B12/(1-B12)*(B10-B11)/(B11-1)</f>
        <v/>
      </c>
      <c r="C15" s="12" t="inlineStr">
        <is>
          <t>Fj = R²j/(1 − R²j) · (n − m)/(m − 1)</t>
        </is>
      </c>
    </row>
    <row r="16">
      <c r="A16" s="7" t="inlineStr">
        <is>
          <t>Fj критическое (5 %)</t>
        </is>
      </c>
      <c r="B16" s="10">
        <f>FINV(0.05,B11-1,B10-B11)</f>
        <v/>
      </c>
      <c r="C16" s="12" t="inlineStr">
        <is>
          <t>=FРАСПОБР(0,05; m − 1; n − m)</t>
        </is>
      </c>
    </row>
    <row r="18">
      <c r="A18" s="7" t="inlineStr">
        <is>
          <t>Вывод</t>
        </is>
      </c>
      <c r="B18" s="16">
        <f>IF(B13&gt;10,"мультиколлинеарность есть","серьёзной мультиколлинеарности нет")</f>
        <v/>
      </c>
    </row>
    <row r="20">
      <c r="A20" s="7" t="inlineStr">
        <is>
          <t>s(b_GNP) в регрессии на оба</t>
        </is>
      </c>
      <c r="B20" s="19">
        <f>'а-б) Регрессия'!C11</f>
        <v/>
      </c>
    </row>
    <row r="21">
      <c r="A21" s="7" t="inlineStr">
        <is>
          <t>s(b_GNP) в парной регрессии</t>
        </is>
      </c>
      <c r="B21" s="19">
        <f>'д) Парные'!C8</f>
        <v/>
      </c>
    </row>
    <row r="22">
      <c r="A22" s="7" t="inlineStr">
        <is>
          <t>Отношение</t>
        </is>
      </c>
      <c r="B22" s="20">
        <f>B20/B21</f>
        <v/>
      </c>
      <c r="C22" s="12" t="inlineStr">
        <is>
          <t>близко к √VIF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14" customWidth="1" min="3" max="3"/>
    <col width="14" customWidth="1" min="4" max="4"/>
    <col width="14" customWidth="1" min="5" max="5"/>
    <col width="3" customWidth="1" min="6" max="6"/>
    <col width="46" customWidth="1" min="7" max="7"/>
  </cols>
  <sheetData>
    <row r="1">
      <c r="A1" s="1" t="inlineStr">
        <is>
          <t>д) Парные регрессии INV на GNP и INV на CONS</t>
        </is>
      </c>
    </row>
    <row r="2">
      <c r="A2" s="2" t="inlineStr">
        <is>
          <t>Каждый регрессор по отдельности высоко значим; R² почти как у регрессии на оба.</t>
        </is>
      </c>
    </row>
    <row r="3">
      <c r="A3" s="7" t="inlineStr">
        <is>
          <t>n</t>
        </is>
      </c>
      <c r="B3" s="5">
        <f>COUNT(Данные!$E$6:$E$25)</f>
        <v/>
      </c>
    </row>
    <row r="5">
      <c r="A5" s="7" t="inlineStr">
        <is>
          <t>INV на GNP</t>
        </is>
      </c>
    </row>
    <row r="6">
      <c r="A6" s="3" t="inlineStr">
        <is>
          <t>Переменная</t>
        </is>
      </c>
      <c r="B6" s="3" t="inlineStr">
        <is>
          <t>Коэффициент</t>
        </is>
      </c>
      <c r="C6" s="3" t="inlineStr">
        <is>
          <t>Ст. ошибка</t>
        </is>
      </c>
      <c r="D6" s="3" t="inlineStr">
        <is>
          <t>t-статистика</t>
        </is>
      </c>
      <c r="E6" s="3" t="inlineStr">
        <is>
          <t>P-значение</t>
        </is>
      </c>
    </row>
    <row r="7">
      <c r="A7" s="8" t="inlineStr">
        <is>
          <t>const</t>
        </is>
      </c>
      <c r="B7" s="9">
        <f>INDEX(LINEST(Данные!$E$6:$E$25,Данные!$B$6:$B$25,TRUE,TRUE),1,2)</f>
        <v/>
      </c>
      <c r="C7" s="9">
        <f>INDEX(LINEST(Данные!$E$6:$E$25,Данные!$B$6:$B$25,TRUE,TRUE),2,2)</f>
        <v/>
      </c>
      <c r="D7" s="10">
        <f>B7/C7</f>
        <v/>
      </c>
      <c r="E7" s="9">
        <f>TDIST(ABS(D7),$B$3-2,2)</f>
        <v/>
      </c>
    </row>
    <row r="8">
      <c r="A8" s="8" t="inlineStr">
        <is>
          <t>GNP</t>
        </is>
      </c>
      <c r="B8" s="9">
        <f>INDEX(LINEST(Данные!$E$6:$E$25,Данные!$B$6:$B$25,TRUE,TRUE),1,1)</f>
        <v/>
      </c>
      <c r="C8" s="9">
        <f>INDEX(LINEST(Данные!$E$6:$E$25,Данные!$B$6:$B$25,TRUE,TRUE),2,1)</f>
        <v/>
      </c>
      <c r="D8" s="10">
        <f>B8/C8</f>
        <v/>
      </c>
      <c r="E8" s="9">
        <f>TDIST(ABS(D8),$B$3-2,2)</f>
        <v/>
      </c>
    </row>
    <row r="9">
      <c r="A9" s="7" t="inlineStr">
        <is>
          <t>R²</t>
        </is>
      </c>
      <c r="B9" s="11">
        <f>RSQ(Данные!$E$6:$E$25,Данные!$B$6:$B$25)</f>
        <v/>
      </c>
      <c r="C9" s="12" t="inlineStr">
        <is>
          <t>=КВПИРСОН(y; x)</t>
        </is>
      </c>
    </row>
    <row r="10">
      <c r="A10" s="7" t="inlineStr">
        <is>
          <t>R²adj</t>
        </is>
      </c>
      <c r="B10" s="11">
        <f>1-($B$3-1)/($B$3-2)*(1-B9)</f>
        <v/>
      </c>
      <c r="C10" s="12" t="inlineStr">
        <is>
          <t>1 − (n − 1)/(n − k)·(1 − R²)</t>
        </is>
      </c>
    </row>
    <row r="11">
      <c r="A11" s="7" t="inlineStr">
        <is>
          <t>ESS = Σe²</t>
        </is>
      </c>
      <c r="B11" s="17">
        <f>INDEX(LINEST(Данные!$E$6:$E$25,Данные!$B$6:$B$25,TRUE,TRUE),5,2)</f>
        <v/>
      </c>
      <c r="C11" s="12" t="inlineStr">
        <is>
          <t>пятая строка ЛИНЕЙН, справа — остаточная сумма</t>
        </is>
      </c>
    </row>
    <row r="14">
      <c r="A14" s="7" t="inlineStr">
        <is>
          <t>INV на CONS</t>
        </is>
      </c>
    </row>
    <row r="15">
      <c r="A15" s="3" t="inlineStr">
        <is>
          <t>Переменная</t>
        </is>
      </c>
      <c r="B15" s="3" t="inlineStr">
        <is>
          <t>Коэффициент</t>
        </is>
      </c>
      <c r="C15" s="3" t="inlineStr">
        <is>
          <t>Ст. ошибка</t>
        </is>
      </c>
      <c r="D15" s="3" t="inlineStr">
        <is>
          <t>t-статистика</t>
        </is>
      </c>
      <c r="E15" s="3" t="inlineStr">
        <is>
          <t>P-значение</t>
        </is>
      </c>
    </row>
    <row r="16">
      <c r="A16" s="8" t="inlineStr">
        <is>
          <t>const</t>
        </is>
      </c>
      <c r="B16" s="9">
        <f>INDEX(LINEST(Данные!$E$6:$E$25,Данные!$C$6:$C$25,TRUE,TRUE),1,2)</f>
        <v/>
      </c>
      <c r="C16" s="9">
        <f>INDEX(LINEST(Данные!$E$6:$E$25,Данные!$C$6:$C$25,TRUE,TRUE),2,2)</f>
        <v/>
      </c>
      <c r="D16" s="10">
        <f>B16/C16</f>
        <v/>
      </c>
      <c r="E16" s="9">
        <f>TDIST(ABS(D16),$B$3-2,2)</f>
        <v/>
      </c>
    </row>
    <row r="17">
      <c r="A17" s="8" t="inlineStr">
        <is>
          <t>CONS</t>
        </is>
      </c>
      <c r="B17" s="9">
        <f>INDEX(LINEST(Данные!$E$6:$E$25,Данные!$C$6:$C$25,TRUE,TRUE),1,1)</f>
        <v/>
      </c>
      <c r="C17" s="9">
        <f>INDEX(LINEST(Данные!$E$6:$E$25,Данные!$C$6:$C$25,TRUE,TRUE),2,1)</f>
        <v/>
      </c>
      <c r="D17" s="10">
        <f>B17/C17</f>
        <v/>
      </c>
      <c r="E17" s="9">
        <f>TDIST(ABS(D17),$B$3-2,2)</f>
        <v/>
      </c>
    </row>
    <row r="18">
      <c r="A18" s="7" t="inlineStr">
        <is>
          <t>R²</t>
        </is>
      </c>
      <c r="B18" s="11">
        <f>RSQ(Данные!$E$6:$E$25,Данные!$C$6:$C$25)</f>
        <v/>
      </c>
      <c r="C18" s="12" t="inlineStr">
        <is>
          <t>=КВПИРСОН(y; x)</t>
        </is>
      </c>
    </row>
    <row r="19">
      <c r="A19" s="7" t="inlineStr">
        <is>
          <t>R²adj</t>
        </is>
      </c>
      <c r="B19" s="11">
        <f>1-($B$3-1)/($B$3-2)*(1-B18)</f>
        <v/>
      </c>
      <c r="C19" s="12" t="inlineStr">
        <is>
          <t>1 − (n − 1)/(n − k)·(1 − R²)</t>
        </is>
      </c>
    </row>
    <row r="20">
      <c r="A20" s="7" t="inlineStr">
        <is>
          <t>ESS = Σe²</t>
        </is>
      </c>
      <c r="B20" s="17">
        <f>INDEX(LINEST(Данные!$E$6:$E$25,Данные!$C$6:$C$25,TRUE,TRUE),5,2)</f>
        <v/>
      </c>
      <c r="C20" s="12" t="inlineStr">
        <is>
          <t>пятая строка ЛИНЕЙН, справа — остаточная сумма</t>
        </is>
      </c>
    </row>
    <row r="24">
      <c r="A24" s="7" t="inlineStr">
        <is>
          <t>Добавление CONS к регрессии на GNP (H₀: b2 = 0)</t>
        </is>
      </c>
    </row>
    <row r="25">
      <c r="A25" s="7" t="inlineStr">
        <is>
          <t>ESS_R (INV на GNP)</t>
        </is>
      </c>
      <c r="B25" s="10">
        <f>B11</f>
        <v/>
      </c>
    </row>
    <row r="26">
      <c r="A26" s="7" t="inlineStr">
        <is>
          <t>ESS_UR (INV на GNP и CONS)</t>
        </is>
      </c>
      <c r="B26" s="21">
        <f>'а-б) Регрессия'!B17</f>
        <v/>
      </c>
    </row>
    <row r="27">
      <c r="A27" s="7" t="inlineStr">
        <is>
          <t>F</t>
        </is>
      </c>
      <c r="B27" s="17">
        <f>((B25-B26)/1)/(B26/('а-б) Регрессия'!B7))</f>
        <v/>
      </c>
      <c r="C27" s="12" t="inlineStr">
        <is>
          <t>F = ((ESS_R − ESS_UR)/q) / (ESS_UR/(n − k)), q = 1</t>
        </is>
      </c>
    </row>
    <row r="28">
      <c r="A28" s="7" t="inlineStr">
        <is>
          <t>t² для CONS из п. а)</t>
        </is>
      </c>
      <c r="B28" s="21">
        <f>'а-б) Регрессия'!D12^2</f>
        <v/>
      </c>
      <c r="C28" s="12" t="inlineStr">
        <is>
          <t>совпадает с F</t>
        </is>
      </c>
    </row>
    <row r="29">
      <c r="A29" s="7" t="inlineStr">
        <is>
          <t>F критическое (5 %)</t>
        </is>
      </c>
      <c r="B29" s="10">
        <f>FINV(0.05,1,'а-б) Регрессия'!B7)</f>
        <v/>
      </c>
    </row>
    <row r="31">
      <c r="A31" s="7" t="inlineStr">
        <is>
          <t>Короткая и длинная регрессии</t>
        </is>
      </c>
    </row>
    <row r="32">
      <c r="A32" s="7" t="inlineStr">
        <is>
          <t>δ — наклон CONS на GNP</t>
        </is>
      </c>
      <c r="B32" s="19">
        <f>'е) CONS на GNP'!B7</f>
        <v/>
      </c>
    </row>
    <row r="33">
      <c r="A33" s="7" t="inlineStr">
        <is>
          <t>b1 + b2·δ</t>
        </is>
      </c>
      <c r="B33" s="11">
        <f>'а-б) Регрессия'!B11+'а-б) Регрессия'!B12*B32</f>
        <v/>
      </c>
    </row>
    <row r="34">
      <c r="A34" s="7" t="inlineStr">
        <is>
          <t>наклон INV на GNP</t>
        </is>
      </c>
      <c r="B34" s="9">
        <f>B8</f>
        <v/>
      </c>
      <c r="C34" s="12" t="inlineStr">
        <is>
          <t>совпадает с b1 + b2·δ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е) Регрессия CONS на GNP</t>
        </is>
      </c>
    </row>
    <row r="2">
      <c r="A2" s="2" t="inlineStr">
        <is>
          <t>Это вспомогательная регрессия для VIF: почти точная линейная связь двух регрессоров.</t>
        </is>
      </c>
    </row>
    <row r="3">
      <c r="A3" s="7" t="inlineStr">
        <is>
          <t>n</t>
        </is>
      </c>
      <c r="B3" s="5">
        <f>COUNT(Данные!$C$6:$C$25)</f>
        <v/>
      </c>
    </row>
    <row r="4">
      <c r="A4" s="7" t="inlineStr">
        <is>
          <t>CONS на GNP</t>
        </is>
      </c>
    </row>
    <row r="5">
      <c r="A5" s="3" t="inlineStr">
        <is>
          <t>Переменная</t>
        </is>
      </c>
      <c r="B5" s="3" t="inlineStr">
        <is>
          <t>Коэффициент</t>
        </is>
      </c>
      <c r="C5" s="3" t="inlineStr">
        <is>
          <t>Ст. ошибка</t>
        </is>
      </c>
      <c r="D5" s="3" t="inlineStr">
        <is>
          <t>t-статистика</t>
        </is>
      </c>
      <c r="E5" s="3" t="inlineStr">
        <is>
          <t>P-значение</t>
        </is>
      </c>
    </row>
    <row r="6">
      <c r="A6" s="8" t="inlineStr">
        <is>
          <t>const</t>
        </is>
      </c>
      <c r="B6" s="9">
        <f>INDEX(LINEST(Данные!$C$6:$C$25,Данные!$B$6:$B$25,TRUE,TRUE),1,2)</f>
        <v/>
      </c>
      <c r="C6" s="9">
        <f>INDEX(LINEST(Данные!$C$6:$C$25,Данные!$B$6:$B$25,TRUE,TRUE),2,2)</f>
        <v/>
      </c>
      <c r="D6" s="10">
        <f>B6/C6</f>
        <v/>
      </c>
      <c r="E6" s="9">
        <f>TDIST(ABS(D6),$B$3-2,2)</f>
        <v/>
      </c>
    </row>
    <row r="7">
      <c r="A7" s="8" t="inlineStr">
        <is>
          <t>GNP</t>
        </is>
      </c>
      <c r="B7" s="9">
        <f>INDEX(LINEST(Данные!$C$6:$C$25,Данные!$B$6:$B$25,TRUE,TRUE),1,1)</f>
        <v/>
      </c>
      <c r="C7" s="9">
        <f>INDEX(LINEST(Данные!$C$6:$C$25,Данные!$B$6:$B$25,TRUE,TRUE),2,1)</f>
        <v/>
      </c>
      <c r="D7" s="10">
        <f>B7/C7</f>
        <v/>
      </c>
      <c r="E7" s="9">
        <f>TDIST(ABS(D7),$B$3-2,2)</f>
        <v/>
      </c>
    </row>
    <row r="8">
      <c r="A8" s="7" t="inlineStr">
        <is>
          <t>R²</t>
        </is>
      </c>
      <c r="B8" s="11">
        <f>RSQ(Данные!$C$6:$C$25,Данные!$B$6:$B$25)</f>
        <v/>
      </c>
      <c r="C8" s="12" t="inlineStr">
        <is>
          <t>=КВПИРСОН(y; x)</t>
        </is>
      </c>
    </row>
    <row r="9">
      <c r="A9" s="7" t="inlineStr">
        <is>
          <t>R²adj</t>
        </is>
      </c>
      <c r="B9" s="11">
        <f>1-($B$3-1)/($B$3-2)*(1-B8)</f>
        <v/>
      </c>
      <c r="C9" s="12" t="inlineStr">
        <is>
          <t>1 − (n − 1)/(n − k)·(1 − R²)</t>
        </is>
      </c>
    </row>
    <row r="10">
      <c r="A10" s="7" t="inlineStr">
        <is>
          <t>ESS = Σe²</t>
        </is>
      </c>
      <c r="B10" s="17">
        <f>INDEX(LINEST(Данные!$C$6:$C$25,Данные!$B$6:$B$25,TRUE,TRUE),5,2)</f>
        <v/>
      </c>
      <c r="C10" s="12" t="inlineStr">
        <is>
          <t>пятая строка ЛИНЕЙН, справа — остаточная сумма</t>
        </is>
      </c>
    </row>
    <row r="13">
      <c r="A13" s="2" t="inlineStr">
        <is>
          <t>Наклон 0,706 — предельная склонность к потреблению. R² = 0,993: GNP объясняет 99,3 % разброса CONS.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14" customWidth="1" min="3" max="3"/>
    <col width="14" customWidth="1" min="4" max="4"/>
    <col width="14" customWidth="1" min="5" max="5"/>
    <col width="3" customWidth="1" min="6" max="6"/>
    <col width="44" customWidth="1" min="7" max="7"/>
  </cols>
  <sheetData>
    <row r="1">
      <c r="A1" s="1" t="inlineStr">
        <is>
          <t>ж) Замена регрессоров сбережениями S = GNP − CONS</t>
        </is>
      </c>
    </row>
    <row r="2">
      <c r="A2" s="2" t="inlineStr">
        <is>
          <t>Коэффициенты при GNP и CONS близки по модулю и противоположны по знаку. Проверим ограничение b1 + b2 = 0.</t>
        </is>
      </c>
    </row>
    <row r="3">
      <c r="A3" s="2" t="inlineStr">
        <is>
          <t>INV = b0 + b1·GNP + b2·CONS = b0 + (b1 + b2)·CONS + b1·S, так что коэффициент при CONS в регрессии на CONS и S равен b1 + b2.</t>
        </is>
      </c>
    </row>
    <row r="5">
      <c r="A5" s="7" t="inlineStr">
        <is>
          <t>INV на CONS и S (та же модель, другая запись)</t>
        </is>
      </c>
    </row>
    <row r="6">
      <c r="A6" s="3" t="inlineStr">
        <is>
          <t>Переменная</t>
        </is>
      </c>
      <c r="B6" s="3" t="inlineStr">
        <is>
          <t>Коэффициент</t>
        </is>
      </c>
      <c r="C6" s="3" t="inlineStr">
        <is>
          <t>Ст. ошибка</t>
        </is>
      </c>
      <c r="D6" s="3" t="inlineStr">
        <is>
          <t>t-статистика</t>
        </is>
      </c>
      <c r="E6" s="3" t="inlineStr">
        <is>
          <t>P-значение</t>
        </is>
      </c>
    </row>
    <row r="7">
      <c r="A7" s="8" t="inlineStr">
        <is>
          <t>const</t>
        </is>
      </c>
      <c r="B7" s="9">
        <f>INDEX(LINEST(Данные!$E$6:$E$25,Данные!$C$6:$D$25,TRUE,TRUE),1,3)</f>
        <v/>
      </c>
      <c r="C7" s="9">
        <f>INDEX(LINEST(Данные!$E$6:$E$25,Данные!$C$6:$D$25,TRUE,TRUE),2,3)</f>
        <v/>
      </c>
      <c r="D7" s="10">
        <f>B7/C7</f>
        <v/>
      </c>
      <c r="E7" s="9">
        <f>TDIST(ABS(D7),'а-б) Регрессия'!$B$7,2)</f>
        <v/>
      </c>
    </row>
    <row r="8">
      <c r="A8" s="8" t="inlineStr">
        <is>
          <t>CONS  (= b1 + b2)</t>
        </is>
      </c>
      <c r="B8" s="9">
        <f>INDEX(LINEST(Данные!$E$6:$E$25,Данные!$C$6:$D$25,TRUE,TRUE),1,2)</f>
        <v/>
      </c>
      <c r="C8" s="9">
        <f>INDEX(LINEST(Данные!$E$6:$E$25,Данные!$C$6:$D$25,TRUE,TRUE),2,2)</f>
        <v/>
      </c>
      <c r="D8" s="10">
        <f>B8/C8</f>
        <v/>
      </c>
      <c r="E8" s="9">
        <f>TDIST(ABS(D8),'а-б) Регрессия'!$B$7,2)</f>
        <v/>
      </c>
    </row>
    <row r="9">
      <c r="A9" s="8" t="inlineStr">
        <is>
          <t>S  (= b1)</t>
        </is>
      </c>
      <c r="B9" s="9">
        <f>INDEX(LINEST(Данные!$E$6:$E$25,Данные!$C$6:$D$25,TRUE,TRUE),1,1)</f>
        <v/>
      </c>
      <c r="C9" s="9">
        <f>INDEX(LINEST(Данные!$E$6:$E$25,Данные!$C$6:$D$25,TRUE,TRUE),2,1)</f>
        <v/>
      </c>
      <c r="D9" s="10">
        <f>B9/C9</f>
        <v/>
      </c>
      <c r="E9" s="9">
        <f>TDIST(ABS(D9),'а-б) Регрессия'!$B$7,2)</f>
        <v/>
      </c>
    </row>
    <row r="11">
      <c r="A11" s="7" t="inlineStr">
        <is>
          <t>ESS — та же, что в п. а)</t>
        </is>
      </c>
      <c r="B11" s="10">
        <f>INDEX(LINEST(Данные!$E$6:$E$25,Данные!$C$6:$D$25,TRUE,TRUE),5,2)</f>
        <v/>
      </c>
      <c r="C11" s="12" t="inlineStr">
        <is>
          <t>подгонка не изменилась</t>
        </is>
      </c>
    </row>
    <row r="12">
      <c r="A12" s="7" t="inlineStr">
        <is>
          <t>Ограничение b1 + b2 = 0</t>
        </is>
      </c>
      <c r="B12" s="16">
        <f>IF(ABS(D8)&gt;'а-б) Регрессия'!B23,"отвергается","не отвергается")</f>
        <v/>
      </c>
    </row>
    <row r="14">
      <c r="A14" s="7" t="inlineStr">
        <is>
          <t>Модель с ограничением: INV на S</t>
        </is>
      </c>
    </row>
    <row r="15">
      <c r="A15" s="3" t="inlineStr">
        <is>
          <t>Переменная</t>
        </is>
      </c>
      <c r="B15" s="3" t="inlineStr">
        <is>
          <t>Коэффициент</t>
        </is>
      </c>
      <c r="C15" s="3" t="inlineStr">
        <is>
          <t>Ст. ошибка</t>
        </is>
      </c>
      <c r="D15" s="3" t="inlineStr">
        <is>
          <t>t-статистика</t>
        </is>
      </c>
      <c r="E15" s="3" t="inlineStr">
        <is>
          <t>P-значение</t>
        </is>
      </c>
    </row>
    <row r="16">
      <c r="A16" s="8" t="inlineStr">
        <is>
          <t>const</t>
        </is>
      </c>
      <c r="B16" s="9">
        <f>INDEX(LINEST(Данные!$E$6:$E$25,Данные!$D$6:$D$25,TRUE,TRUE),1,2)</f>
        <v/>
      </c>
      <c r="C16" s="9">
        <f>INDEX(LINEST(Данные!$E$6:$E$25,Данные!$D$6:$D$25,TRUE,TRUE),2,2)</f>
        <v/>
      </c>
      <c r="D16" s="10">
        <f>B16/C16</f>
        <v/>
      </c>
      <c r="E16" s="9">
        <f>TDIST(ABS(D16),'а-б) Регрессия'!$B$5-2,2)</f>
        <v/>
      </c>
    </row>
    <row r="17">
      <c r="A17" s="8" t="inlineStr">
        <is>
          <t>S</t>
        </is>
      </c>
      <c r="B17" s="9">
        <f>INDEX(LINEST(Данные!$E$6:$E$25,Данные!$D$6:$D$25,TRUE,TRUE),1,1)</f>
        <v/>
      </c>
      <c r="C17" s="9">
        <f>INDEX(LINEST(Данные!$E$6:$E$25,Данные!$D$6:$D$25,TRUE,TRUE),2,1)</f>
        <v/>
      </c>
      <c r="D17" s="10">
        <f>B17/C17</f>
        <v/>
      </c>
      <c r="E17" s="9">
        <f>TDIST(ABS(D17),'а-б) Регрессия'!$B$5-2,2)</f>
        <v/>
      </c>
    </row>
    <row r="18">
      <c r="A18" s="7" t="inlineStr">
        <is>
          <t>R²</t>
        </is>
      </c>
      <c r="B18" s="11">
        <f>RSQ(Данные!$E$6:$E$25,Данные!$D$6:$D$25)</f>
        <v/>
      </c>
      <c r="C18" s="12" t="inlineStr">
        <is>
          <t>=КВПИРСОН(y; x)</t>
        </is>
      </c>
    </row>
    <row r="19">
      <c r="A19" s="7" t="inlineStr">
        <is>
          <t>R²adj</t>
        </is>
      </c>
      <c r="B19" s="11">
        <f>1-('а-б) Регрессия'!$B$5-1)/('а-б) Регрессия'!$B$5-2)*(1-B18)</f>
        <v/>
      </c>
      <c r="C19" s="12" t="inlineStr">
        <is>
          <t>1 − (n − 1)/(n − k)·(1 − R²)</t>
        </is>
      </c>
    </row>
    <row r="20">
      <c r="A20" s="7" t="inlineStr">
        <is>
          <t>ESS = Σe²</t>
        </is>
      </c>
      <c r="B20" s="17">
        <f>INDEX(LINEST(Данные!$E$6:$E$25,Данные!$D$6:$D$25,TRUE,TRUE),5,2)</f>
        <v/>
      </c>
      <c r="C20" s="12" t="inlineStr">
        <is>
          <t>пятая строка ЛИНЕЙН, справа — остаточная сумма</t>
        </is>
      </c>
    </row>
    <row r="24">
      <c r="A24" s="7" t="inlineStr">
        <is>
          <t>Сравнение моделей по R²adj</t>
        </is>
      </c>
    </row>
    <row r="25">
      <c r="A25" s="3" t="inlineStr">
        <is>
          <t>Модель</t>
        </is>
      </c>
      <c r="B25" s="3" t="inlineStr">
        <is>
          <t>R²adj</t>
        </is>
      </c>
    </row>
    <row r="26">
      <c r="A26" s="8" t="inlineStr">
        <is>
          <t>INV на GNP и CONS</t>
        </is>
      </c>
      <c r="B26" s="19">
        <f>'а-б) Регрессия'!B15</f>
        <v/>
      </c>
    </row>
    <row r="27">
      <c r="A27" s="8" t="inlineStr">
        <is>
          <t>INV на GNP</t>
        </is>
      </c>
      <c r="B27" s="19">
        <f>'д) Парные'!B10</f>
        <v/>
      </c>
    </row>
    <row r="28">
      <c r="A28" s="8" t="inlineStr">
        <is>
          <t>INV на CONS</t>
        </is>
      </c>
      <c r="B28" s="19">
        <f>'д) Парные'!B19</f>
        <v/>
      </c>
    </row>
    <row r="29">
      <c r="A29" s="8" t="inlineStr">
        <is>
          <t>INV на S</t>
        </is>
      </c>
      <c r="B29" s="19">
        <f>B19</f>
        <v/>
      </c>
    </row>
    <row r="31">
      <c r="A31" s="2" t="inlineStr">
        <is>
          <t>Лучшая модель — INV на S: один регрессор, мультиколлинеарности нет, R²adj наибольший.</t>
        </is>
      </c>
    </row>
    <row r="32">
      <c r="A32" s="2" t="inlineStr">
        <is>
          <t>Оговорка: S = INV + (госрасходы и чистый экспорт), поэтому связь INV и S близка к тождеству национальных счетов.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2026-09-27T21:54:15Z</dcterms:created>
  <dcterms:modified xmlns:dcterms="http://purl.org/dc/terms/" xmlns:xsi="http://www.w3.org/2001/XMLSchema-instance" xsi:type="dcterms:W3CDTF">2026-09-27T21:54:15Z</dcterms:modified>
</cp:coreProperties>
</file>