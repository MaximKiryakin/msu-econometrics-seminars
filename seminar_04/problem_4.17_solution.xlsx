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а) Кобб–Дуглас" sheetId="2" state="visible" r:id="rId2"/>
    <sheet xmlns:r="http://schemas.openxmlformats.org/officeDocument/2006/relationships" name="б) Только ln 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00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" fontId="4" fillId="0" borderId="1" pivotButton="0" quotePrefix="0" xfId="0"/>
    <xf numFmtId="164" fontId="5" fillId="0" borderId="1" pivotButton="0" quotePrefix="0" xfId="0"/>
    <xf numFmtId="0" fontId="3" fillId="0" borderId="0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164" fontId="5" fillId="3" borderId="1" pivotButton="0" quotePrefix="0" xfId="0"/>
    <xf numFmtId="0" fontId="6" fillId="0" borderId="0" pivotButton="0" quotePrefix="0" xfId="0"/>
    <xf numFmtId="166" fontId="5" fillId="3" borderId="1" pivotButton="0" quotePrefix="0" xfId="0"/>
    <xf numFmtId="2" fontId="5" fillId="0" borderId="1" pivotButton="0" quotePrefix="0" xfId="0"/>
    <xf numFmtId="165" fontId="5" fillId="3" borderId="1" pivotButton="0" quotePrefix="0" xfId="0"/>
    <xf numFmtId="167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Задача 4.17. Производственная функция Кобба–Дугласа</t>
        </is>
      </c>
    </row>
    <row r="2">
      <c r="A2" s="2" t="inlineStr">
        <is>
          <t>Синий шрифт — исходные данные из условия; чёрный — формулы; зелёный — ссылки на другие листы.</t>
        </is>
      </c>
    </row>
    <row r="3">
      <c r="A3" s="2" t="inlineStr">
        <is>
          <t>Вопрос: оценить Q = α·L^β1·K^β2, найти R², R²adj и корреляцию ln L и ln K; затем регрессия ln Q только на ln K.</t>
        </is>
      </c>
    </row>
    <row r="5">
      <c r="A5" s="3" t="inlineStr">
        <is>
          <t>Фирма</t>
        </is>
      </c>
      <c r="B5" s="3" t="inlineStr">
        <is>
          <t>Q</t>
        </is>
      </c>
      <c r="C5" s="3" t="inlineStr">
        <is>
          <t>L</t>
        </is>
      </c>
      <c r="D5" s="3" t="inlineStr">
        <is>
          <t>K</t>
        </is>
      </c>
      <c r="E5" s="3" t="inlineStr">
        <is>
          <t>ln Q</t>
        </is>
      </c>
      <c r="F5" s="3" t="inlineStr">
        <is>
          <t>ln L</t>
        </is>
      </c>
      <c r="G5" s="3" t="inlineStr">
        <is>
          <t>ln K</t>
        </is>
      </c>
    </row>
    <row r="6">
      <c r="A6" s="4" t="n">
        <v>1</v>
      </c>
      <c r="B6" s="4" t="n">
        <v>2350</v>
      </c>
      <c r="C6" s="4" t="n">
        <v>2334</v>
      </c>
      <c r="D6" s="4" t="n">
        <v>1570</v>
      </c>
      <c r="E6" s="5">
        <f>LN(B6)</f>
        <v/>
      </c>
      <c r="F6" s="5">
        <f>LN(C6)</f>
        <v/>
      </c>
      <c r="G6" s="5">
        <f>LN(D6)</f>
        <v/>
      </c>
    </row>
    <row r="7">
      <c r="A7" s="4" t="n">
        <v>2</v>
      </c>
      <c r="B7" s="4" t="n">
        <v>2470</v>
      </c>
      <c r="C7" s="4" t="n">
        <v>2425</v>
      </c>
      <c r="D7" s="4" t="n">
        <v>1850</v>
      </c>
      <c r="E7" s="5">
        <f>LN(B7)</f>
        <v/>
      </c>
      <c r="F7" s="5">
        <f>LN(C7)</f>
        <v/>
      </c>
      <c r="G7" s="5">
        <f>LN(D7)</f>
        <v/>
      </c>
    </row>
    <row r="8">
      <c r="A8" s="4" t="n">
        <v>3</v>
      </c>
      <c r="B8" s="4" t="n">
        <v>2110</v>
      </c>
      <c r="C8" s="4" t="n">
        <v>2230</v>
      </c>
      <c r="D8" s="4" t="n">
        <v>1150</v>
      </c>
      <c r="E8" s="5">
        <f>LN(B8)</f>
        <v/>
      </c>
      <c r="F8" s="5">
        <f>LN(C8)</f>
        <v/>
      </c>
      <c r="G8" s="5">
        <f>LN(D8)</f>
        <v/>
      </c>
    </row>
    <row r="9">
      <c r="A9" s="4" t="n">
        <v>4</v>
      </c>
      <c r="B9" s="4" t="n">
        <v>2560</v>
      </c>
      <c r="C9" s="4" t="n">
        <v>2463</v>
      </c>
      <c r="D9" s="4" t="n">
        <v>1940</v>
      </c>
      <c r="E9" s="5">
        <f>LN(B9)</f>
        <v/>
      </c>
      <c r="F9" s="5">
        <f>LN(C9)</f>
        <v/>
      </c>
      <c r="G9" s="5">
        <f>LN(D9)</f>
        <v/>
      </c>
    </row>
    <row r="10">
      <c r="A10" s="4" t="n">
        <v>5</v>
      </c>
      <c r="B10" s="4" t="n">
        <v>2650</v>
      </c>
      <c r="C10" s="4" t="n">
        <v>2565</v>
      </c>
      <c r="D10" s="4" t="n">
        <v>2450</v>
      </c>
      <c r="E10" s="5">
        <f>LN(B10)</f>
        <v/>
      </c>
      <c r="F10" s="5">
        <f>LN(C10)</f>
        <v/>
      </c>
      <c r="G10" s="5">
        <f>LN(D10)</f>
        <v/>
      </c>
    </row>
    <row r="11">
      <c r="A11" s="4" t="n">
        <v>6</v>
      </c>
      <c r="B11" s="4" t="n">
        <v>2240</v>
      </c>
      <c r="C11" s="4" t="n">
        <v>2278</v>
      </c>
      <c r="D11" s="4" t="n">
        <v>1340</v>
      </c>
      <c r="E11" s="5">
        <f>LN(B11)</f>
        <v/>
      </c>
      <c r="F11" s="5">
        <f>LN(C11)</f>
        <v/>
      </c>
      <c r="G11" s="5">
        <f>LN(D11)</f>
        <v/>
      </c>
    </row>
    <row r="12">
      <c r="A12" s="4" t="n">
        <v>7</v>
      </c>
      <c r="B12" s="4" t="n">
        <v>2430</v>
      </c>
      <c r="C12" s="4" t="n">
        <v>2380</v>
      </c>
      <c r="D12" s="4" t="n">
        <v>1700</v>
      </c>
      <c r="E12" s="5">
        <f>LN(B12)</f>
        <v/>
      </c>
      <c r="F12" s="5">
        <f>LN(C12)</f>
        <v/>
      </c>
      <c r="G12" s="5">
        <f>LN(D12)</f>
        <v/>
      </c>
    </row>
    <row r="13">
      <c r="A13" s="4" t="n">
        <v>8</v>
      </c>
      <c r="B13" s="4" t="n">
        <v>2530</v>
      </c>
      <c r="C13" s="4" t="n">
        <v>2437</v>
      </c>
      <c r="D13" s="4" t="n">
        <v>1860</v>
      </c>
      <c r="E13" s="5">
        <f>LN(B13)</f>
        <v/>
      </c>
      <c r="F13" s="5">
        <f>LN(C13)</f>
        <v/>
      </c>
      <c r="G13" s="5">
        <f>LN(D13)</f>
        <v/>
      </c>
    </row>
    <row r="14">
      <c r="A14" s="4" t="n">
        <v>9</v>
      </c>
      <c r="B14" s="4" t="n">
        <v>2550</v>
      </c>
      <c r="C14" s="4" t="n">
        <v>2446</v>
      </c>
      <c r="D14" s="4" t="n">
        <v>1880</v>
      </c>
      <c r="E14" s="5">
        <f>LN(B14)</f>
        <v/>
      </c>
      <c r="F14" s="5">
        <f>LN(C14)</f>
        <v/>
      </c>
      <c r="G14" s="5">
        <f>LN(D14)</f>
        <v/>
      </c>
    </row>
    <row r="15">
      <c r="A15" s="4" t="n">
        <v>10</v>
      </c>
      <c r="B15" s="4" t="n">
        <v>2450</v>
      </c>
      <c r="C15" s="4" t="n">
        <v>2403</v>
      </c>
      <c r="D15" s="4" t="n">
        <v>1790</v>
      </c>
      <c r="E15" s="5">
        <f>LN(B15)</f>
        <v/>
      </c>
      <c r="F15" s="5">
        <f>LN(C15)</f>
        <v/>
      </c>
      <c r="G15" s="5">
        <f>LN(D15)</f>
        <v/>
      </c>
    </row>
    <row r="16">
      <c r="A16" s="4" t="n">
        <v>11</v>
      </c>
      <c r="B16" s="4" t="n">
        <v>2290</v>
      </c>
      <c r="C16" s="4" t="n">
        <v>2301</v>
      </c>
      <c r="D16" s="4" t="n">
        <v>1480</v>
      </c>
      <c r="E16" s="5">
        <f>LN(B16)</f>
        <v/>
      </c>
      <c r="F16" s="5">
        <f>LN(C16)</f>
        <v/>
      </c>
      <c r="G16" s="5">
        <f>LN(D16)</f>
        <v/>
      </c>
    </row>
    <row r="17">
      <c r="A17" s="4" t="n">
        <v>12</v>
      </c>
      <c r="B17" s="4" t="n">
        <v>2160</v>
      </c>
      <c r="C17" s="4" t="n">
        <v>2253</v>
      </c>
      <c r="D17" s="4" t="n">
        <v>1240</v>
      </c>
      <c r="E17" s="5">
        <f>LN(B17)</f>
        <v/>
      </c>
      <c r="F17" s="5">
        <f>LN(C17)</f>
        <v/>
      </c>
      <c r="G17" s="5">
        <f>LN(D17)</f>
        <v/>
      </c>
    </row>
    <row r="18">
      <c r="A18" s="4" t="n">
        <v>13</v>
      </c>
      <c r="B18" s="4" t="n">
        <v>2400</v>
      </c>
      <c r="C18" s="4" t="n">
        <v>2367</v>
      </c>
      <c r="D18" s="4" t="n">
        <v>1660</v>
      </c>
      <c r="E18" s="5">
        <f>LN(B18)</f>
        <v/>
      </c>
      <c r="F18" s="5">
        <f>LN(C18)</f>
        <v/>
      </c>
      <c r="G18" s="5">
        <f>LN(D18)</f>
        <v/>
      </c>
    </row>
    <row r="19">
      <c r="A19" s="4" t="n">
        <v>14</v>
      </c>
      <c r="B19" s="4" t="n">
        <v>2490</v>
      </c>
      <c r="C19" s="4" t="n">
        <v>2430</v>
      </c>
      <c r="D19" s="4" t="n">
        <v>1850</v>
      </c>
      <c r="E19" s="5">
        <f>LN(B19)</f>
        <v/>
      </c>
      <c r="F19" s="5">
        <f>LN(C19)</f>
        <v/>
      </c>
      <c r="G19" s="5">
        <f>LN(D19)</f>
        <v/>
      </c>
    </row>
    <row r="20">
      <c r="A20" s="4" t="n">
        <v>15</v>
      </c>
      <c r="B20" s="4" t="n">
        <v>2590</v>
      </c>
      <c r="C20" s="4" t="n">
        <v>2470</v>
      </c>
      <c r="D20" s="4" t="n">
        <v>2000</v>
      </c>
      <c r="E20" s="5">
        <f>LN(B20)</f>
        <v/>
      </c>
      <c r="F20" s="5">
        <f>LN(C20)</f>
        <v/>
      </c>
      <c r="G20" s="5">
        <f>LN(D20)</f>
        <v/>
      </c>
    </row>
    <row r="22">
      <c r="A22" s="2" t="inlineStr">
        <is>
          <t>Источник: Сборник задач к начальному курсу эконометрики (РАНХиГС), табл. 4.19.</t>
        </is>
      </c>
    </row>
    <row r="23">
      <c r="A23" s="2" t="inlineStr">
        <is>
          <t>ln L и ln K стоят рядом: так их можно сразу отдать ЛИНЕЙН и Пакету анализа.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а) ln Q на ln L и ln K</t>
        </is>
      </c>
    </row>
    <row r="2">
      <c r="A2" s="2" t="inlineStr">
        <is>
          <t>Модель: ln Q = ln α + β1·ln L + β2·ln K + ε. ЛИНЕЙН по двум соседним столбцам ln L и ln K.</t>
        </is>
      </c>
    </row>
    <row r="4">
      <c r="A4" s="6" t="inlineStr">
        <is>
          <t>n</t>
        </is>
      </c>
      <c r="B4" s="7">
        <f>COUNT(Данные!$E$6:$E$20)</f>
        <v/>
      </c>
    </row>
    <row r="5">
      <c r="A5" s="6" t="inlineStr">
        <is>
          <t>k — число параметров</t>
        </is>
      </c>
      <c r="B5" s="4" t="n">
        <v>3</v>
      </c>
    </row>
    <row r="6">
      <c r="A6" s="6" t="inlineStr">
        <is>
          <t>n − k</t>
        </is>
      </c>
      <c r="B6" s="7">
        <f>B4-B5</f>
        <v/>
      </c>
    </row>
    <row r="8">
      <c r="A8" s="3" t="inlineStr">
        <is>
          <t>Переменная</t>
        </is>
      </c>
      <c r="B8" s="3" t="inlineStr">
        <is>
          <t>Коэффициент</t>
        </is>
      </c>
      <c r="C8" s="3" t="inlineStr">
        <is>
          <t>Ст. ошибка</t>
        </is>
      </c>
      <c r="D8" s="3" t="inlineStr">
        <is>
          <t>t-статистика</t>
        </is>
      </c>
      <c r="E8" s="3" t="inlineStr">
        <is>
          <t>P-значение</t>
        </is>
      </c>
    </row>
    <row r="9">
      <c r="A9" s="8" t="inlineStr">
        <is>
          <t>const = ln α</t>
        </is>
      </c>
      <c r="B9" s="5">
        <f>INDEX(LINEST(Данные!$E$6:$E$20,Данные!$F$6:$G$20,TRUE,TRUE),1,3)</f>
        <v/>
      </c>
      <c r="C9" s="5">
        <f>INDEX(LINEST(Данные!$E$6:$E$20,Данные!$F$6:$G$20,TRUE,TRUE),2,3)</f>
        <v/>
      </c>
      <c r="D9" s="9">
        <f>B9/C9</f>
        <v/>
      </c>
      <c r="E9" s="5">
        <f>TDIST(ABS(D9),$B$6,2)</f>
        <v/>
      </c>
    </row>
    <row r="10">
      <c r="A10" s="8" t="inlineStr">
        <is>
          <t>ln L  (β1)</t>
        </is>
      </c>
      <c r="B10" s="5">
        <f>INDEX(LINEST(Данные!$E$6:$E$20,Данные!$F$6:$G$20,TRUE,TRUE),1,2)</f>
        <v/>
      </c>
      <c r="C10" s="5">
        <f>INDEX(LINEST(Данные!$E$6:$E$20,Данные!$F$6:$G$20,TRUE,TRUE),2,2)</f>
        <v/>
      </c>
      <c r="D10" s="9">
        <f>B10/C10</f>
        <v/>
      </c>
      <c r="E10" s="5">
        <f>TDIST(ABS(D10),$B$6,2)</f>
        <v/>
      </c>
    </row>
    <row r="11">
      <c r="A11" s="8" t="inlineStr">
        <is>
          <t>ln K  (β2)</t>
        </is>
      </c>
      <c r="B11" s="5">
        <f>INDEX(LINEST(Данные!$E$6:$E$20,Данные!$F$6:$G$20,TRUE,TRUE),1,1)</f>
        <v/>
      </c>
      <c r="C11" s="5">
        <f>INDEX(LINEST(Данные!$E$6:$E$20,Данные!$F$6:$G$20,TRUE,TRUE),2,1)</f>
        <v/>
      </c>
      <c r="D11" s="9">
        <f>B11/C11</f>
        <v/>
      </c>
      <c r="E11" s="5">
        <f>TDIST(ABS(D11),$B$6,2)</f>
        <v/>
      </c>
    </row>
    <row r="13">
      <c r="A13" s="6" t="inlineStr">
        <is>
          <t>R²</t>
        </is>
      </c>
      <c r="B13" s="10">
        <f>INDEX(LINEST(Данные!$E$6:$E$20,Данные!$F$6:$G$20,TRUE,TRUE),3,1)</f>
        <v/>
      </c>
    </row>
    <row r="14">
      <c r="A14" s="6" t="inlineStr">
        <is>
          <t>R²adj</t>
        </is>
      </c>
      <c r="B14" s="10">
        <f>1-(B4-1)/(B4-B5)*(1-B13)</f>
        <v/>
      </c>
      <c r="C14" s="11" t="inlineStr">
        <is>
          <t>1 − (n − 1)/(n − k)·(1 − R²)</t>
        </is>
      </c>
    </row>
    <row r="15">
      <c r="A15" s="6" t="inlineStr">
        <is>
          <t>ESS = Σe²</t>
        </is>
      </c>
      <c r="B15" s="12">
        <f>INDEX(LINEST(Данные!$E$6:$E$20,Данные!$F$6:$G$20,TRUE,TRUE),5,2)</f>
        <v/>
      </c>
    </row>
    <row r="16">
      <c r="A16" s="6" t="inlineStr">
        <is>
          <t>F</t>
        </is>
      </c>
      <c r="B16" s="13">
        <f>B13/(1-B13)*(B4-B5)/(B5-1)</f>
        <v/>
      </c>
      <c r="C16" s="11" t="inlineStr">
        <is>
          <t>F = R²/(1 − R²) · (n − k)/(k − 1)</t>
        </is>
      </c>
    </row>
    <row r="17">
      <c r="A17" s="6" t="inlineStr">
        <is>
          <t>F критическое (5 %)</t>
        </is>
      </c>
      <c r="B17" s="9">
        <f>FINV(0.05,B5-1,B4-B5)</f>
        <v/>
      </c>
    </row>
    <row r="18">
      <c r="A18" s="6" t="inlineStr">
        <is>
          <t>t критическое (5 %)</t>
        </is>
      </c>
      <c r="B18" s="9">
        <f>TINV(0.05,B6)</f>
        <v/>
      </c>
      <c r="C18" s="11" t="inlineStr">
        <is>
          <t>=СТЬЮДРАСПОБР(0,05; n − k)</t>
        </is>
      </c>
    </row>
    <row r="19">
      <c r="A19" s="6" t="inlineStr">
        <is>
          <t>α = e^const</t>
        </is>
      </c>
      <c r="B19" s="9">
        <f>EXP(B9)</f>
        <v/>
      </c>
    </row>
    <row r="21">
      <c r="A21" s="6" t="inlineStr">
        <is>
          <t>r(ln L, ln K)</t>
        </is>
      </c>
      <c r="B21" s="14">
        <f>CORREL(Данные!$F$6:$F$20,Данные!$G$6:$G$20)</f>
        <v/>
      </c>
      <c r="C21" s="11" t="inlineStr">
        <is>
          <t>=КОРРЕЛ(lnL; lnK)</t>
        </is>
      </c>
    </row>
    <row r="22">
      <c r="A22" s="6" t="inlineStr">
        <is>
          <t>VIF = 1/(1 − r²)</t>
        </is>
      </c>
      <c r="B22" s="15">
        <f>1/(1-B21^2)</f>
        <v/>
      </c>
      <c r="C22" s="11" t="inlineStr">
        <is>
          <t>&gt; 10 — серьёзная мультиколлинеарность</t>
        </is>
      </c>
    </row>
    <row r="24">
      <c r="A24" s="6" t="inlineStr">
        <is>
          <t>Значимость β1</t>
        </is>
      </c>
      <c r="B24" s="16">
        <f>IF(ABS(D10)&gt;B18,"значим","незначим")</f>
        <v/>
      </c>
    </row>
    <row r="25">
      <c r="A25" s="6" t="inlineStr">
        <is>
          <t>Значимость β2</t>
        </is>
      </c>
      <c r="B25" s="16">
        <f>IF(ABS(D11)&gt;B18,"значим","незначим")</f>
        <v/>
      </c>
    </row>
    <row r="27">
      <c r="A27" s="2" t="inlineStr">
        <is>
          <t>Регрессия в целом значима (F ≫ F крит.), R² ≈ 0,97, а ни одна эластичность не значима: ln L и ln K почти линейно связаны.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б) ln Q только на ln K</t>
        </is>
      </c>
    </row>
    <row r="2">
      <c r="A2" s="2" t="inlineStr">
        <is>
          <t>Коэффициент значим, R² почти не изменился. Но это не эластичность по капиталу: он включает и эффект труда.</t>
        </is>
      </c>
    </row>
    <row r="3">
      <c r="A3" s="6" t="inlineStr">
        <is>
          <t>n</t>
        </is>
      </c>
      <c r="B3" s="7">
        <f>COUNT(Данные!$E$6:$E$20)</f>
        <v/>
      </c>
    </row>
    <row r="5">
      <c r="A5" s="6" t="inlineStr">
        <is>
          <t>ln Q на ln K</t>
        </is>
      </c>
    </row>
    <row r="6">
      <c r="A6" s="3" t="inlineStr">
        <is>
          <t>Переменная</t>
        </is>
      </c>
      <c r="B6" s="3" t="inlineStr">
        <is>
          <t>Коэффициент</t>
        </is>
      </c>
      <c r="C6" s="3" t="inlineStr">
        <is>
          <t>Ст. ошибка</t>
        </is>
      </c>
      <c r="D6" s="3" t="inlineStr">
        <is>
          <t>t-статистика</t>
        </is>
      </c>
      <c r="E6" s="3" t="inlineStr">
        <is>
          <t>P-значение</t>
        </is>
      </c>
    </row>
    <row r="7">
      <c r="A7" s="8" t="inlineStr">
        <is>
          <t>const</t>
        </is>
      </c>
      <c r="B7" s="5">
        <f>INDEX(LINEST(Данные!$E$6:$E$20,Данные!$G$6:$G$20,TRUE,TRUE),1,2)</f>
        <v/>
      </c>
      <c r="C7" s="5">
        <f>INDEX(LINEST(Данные!$E$6:$E$20,Данные!$G$6:$G$20,TRUE,TRUE),2,2)</f>
        <v/>
      </c>
      <c r="D7" s="9">
        <f>B7/C7</f>
        <v/>
      </c>
      <c r="E7" s="5">
        <f>TDIST(ABS(D7),$B$3-2,2)</f>
        <v/>
      </c>
    </row>
    <row r="8">
      <c r="A8" s="8" t="inlineStr">
        <is>
          <t>ln K</t>
        </is>
      </c>
      <c r="B8" s="5">
        <f>INDEX(LINEST(Данные!$E$6:$E$20,Данные!$G$6:$G$20,TRUE,TRUE),1,1)</f>
        <v/>
      </c>
      <c r="C8" s="5">
        <f>INDEX(LINEST(Данные!$E$6:$E$20,Данные!$G$6:$G$20,TRUE,TRUE),2,1)</f>
        <v/>
      </c>
      <c r="D8" s="9">
        <f>B8/C8</f>
        <v/>
      </c>
      <c r="E8" s="5">
        <f>TDIST(ABS(D8),$B$3-2,2)</f>
        <v/>
      </c>
    </row>
    <row r="9">
      <c r="A9" s="6" t="inlineStr">
        <is>
          <t>R²</t>
        </is>
      </c>
      <c r="B9" s="10">
        <f>RSQ(Данные!$E$6:$E$20,Данные!$G$6:$G$20)</f>
        <v/>
      </c>
      <c r="C9" s="11" t="inlineStr">
        <is>
          <t>=КВПИРСОН(y; x)</t>
        </is>
      </c>
    </row>
    <row r="10">
      <c r="A10" s="6" t="inlineStr">
        <is>
          <t>R²adj</t>
        </is>
      </c>
      <c r="B10" s="10">
        <f>1-($B$3-1)/($B$3-2)*(1-B9)</f>
        <v/>
      </c>
      <c r="C10" s="11" t="inlineStr">
        <is>
          <t>1 − (n − 1)/(n − k)·(1 − R²)</t>
        </is>
      </c>
    </row>
    <row r="11">
      <c r="A11" s="6" t="inlineStr">
        <is>
          <t>ESS = Σe²</t>
        </is>
      </c>
      <c r="B11" s="14">
        <f>INDEX(LINEST(Данные!$E$6:$E$20,Данные!$G$6:$G$20,TRUE,TRUE),5,2)</f>
        <v/>
      </c>
      <c r="C11" s="11" t="inlineStr">
        <is>
          <t>пятая строка ЛИНЕЙН, справа — остаточная сумма</t>
        </is>
      </c>
    </row>
    <row r="15">
      <c r="A15" s="6" t="inlineStr">
        <is>
          <t>Короткая и длинная регрессии</t>
        </is>
      </c>
    </row>
    <row r="16">
      <c r="A16" s="6" t="inlineStr">
        <is>
          <t>δ — наклон ln L на ln K</t>
        </is>
      </c>
      <c r="B16" s="5">
        <f>SLOPE(Данные!$F$6:$F$20,Данные!$G$6:$G$20)</f>
        <v/>
      </c>
      <c r="C16" s="11" t="inlineStr">
        <is>
          <t>=НАКЛОН(lnL; lnK)</t>
        </is>
      </c>
    </row>
    <row r="17">
      <c r="A17" s="6" t="inlineStr">
        <is>
          <t>β2 + β1·δ</t>
        </is>
      </c>
      <c r="B17" s="10">
        <f>'а) Кобб–Дуглас'!B11+'а) Кобб–Дуглас'!B10*B16</f>
        <v/>
      </c>
    </row>
    <row r="18">
      <c r="A18" s="6" t="inlineStr">
        <is>
          <t>наклон ln Q на ln K</t>
        </is>
      </c>
      <c r="B18" s="5">
        <f>B8</f>
        <v/>
      </c>
      <c r="C18" s="11" t="inlineStr">
        <is>
          <t>совпадает с β2 + β1·δ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2026-09-27T21:54:15Z</dcterms:created>
  <dcterms:modified xmlns:dcterms="http://purl.org/dc/terms/" xmlns:xsi="http://www.w3.org/2001/XMLSchema-instance" xsi:type="dcterms:W3CDTF">2026-09-27T21:54:15Z</dcterms:modified>
</cp:coreProperties>
</file>