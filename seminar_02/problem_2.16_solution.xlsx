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а) Оценки" sheetId="2" state="visible" r:id="rId2"/>
    <sheet xmlns:r="http://schemas.openxmlformats.org/officeDocument/2006/relationships" name="б) Естеств. уровень" sheetId="3" state="visible" r:id="rId3"/>
    <sheet xmlns:r="http://schemas.openxmlformats.org/officeDocument/2006/relationships" name="в) Влияние u" sheetId="4" state="visible" r:id="rId4"/>
    <sheet xmlns:r="http://schemas.openxmlformats.org/officeDocument/2006/relationships" name="г) Интервалы" sheetId="5" state="visible" r:id="rId5"/>
    <sheet xmlns:r="http://schemas.openxmlformats.org/officeDocument/2006/relationships" name="Ито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1F4E79"/>
      <sz val="11"/>
    </font>
    <font>
      <name val="Arial"/>
      <color rgb="00595959"/>
      <sz val="9"/>
    </font>
    <font>
      <name val="Arial"/>
      <color rgb="00008000"/>
    </font>
    <font>
      <name val="Arial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4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horizontal="center"/>
    </xf>
    <xf numFmtId="2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1" fontId="9" fillId="0" borderId="1" pivotButton="0" quotePrefix="0" xfId="0"/>
    <xf numFmtId="0" fontId="7" fillId="0" borderId="0" pivotButton="0" quotePrefix="0" xfId="0"/>
    <xf numFmtId="165" fontId="9" fillId="0" borderId="1" pivotButton="0" quotePrefix="0" xfId="0"/>
    <xf numFmtId="2" fontId="9" fillId="0" borderId="1" pivotButton="0" quotePrefix="0" xfId="0"/>
    <xf numFmtId="166" fontId="9" fillId="3" borderId="1" pivotButton="0" quotePrefix="0" xfId="0"/>
    <xf numFmtId="1" fontId="8" fillId="0" borderId="1" pivotButton="0" quotePrefix="0" xfId="0"/>
    <xf numFmtId="2" fontId="8" fillId="0" borderId="1" pivotButton="0" quotePrefix="0" xfId="0"/>
    <xf numFmtId="165" fontId="8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5" fontId="9" fillId="3" borderId="1" pivotButton="0" quotePrefix="0" xfId="0"/>
    <xf numFmtId="165" fontId="9" fillId="4" borderId="1" pivotButton="0" quotePrefix="0" xfId="0"/>
    <xf numFmtId="0" fontId="9" fillId="3" borderId="1" pivotButton="0" quotePrefix="0" xfId="0"/>
    <xf numFmtId="166" fontId="4" fillId="0" borderId="1" pivotButton="0" quotePrefix="0" xfId="0"/>
    <xf numFmtId="167" fontId="4" fillId="4" borderId="1" pivotButton="0" quotePrefix="0" xfId="0"/>
    <xf numFmtId="166" fontId="8" fillId="0" borderId="1" pivotButton="0" quotePrefix="0" xfId="0"/>
    <xf numFmtId="2" fontId="9" fillId="3" borderId="1" pivotButton="0" quotePrefix="0" xfId="0"/>
    <xf numFmtId="164" fontId="9" fillId="0" borderId="1" pivotButton="0" quotePrefix="0" xfId="0"/>
    <xf numFmtId="0" fontId="4" fillId="0" borderId="0" pivotButton="0" quotePrefix="0" xfId="0"/>
    <xf numFmtId="164" fontId="8" fillId="0" borderId="1" pivotButton="0" quotePrefix="0" xfId="0"/>
    <xf numFmtId="2" fontId="4" fillId="3" borderId="1" pivotButton="0" quotePrefix="0" xfId="0"/>
    <xf numFmtId="1" fontId="4" fillId="3" borderId="1" pivotButton="0" quotePrefix="0" xfId="0"/>
    <xf numFmtId="164" fontId="4" fillId="3" borderId="1" pivotButton="0" quotePrefix="0" xfId="0"/>
    <xf numFmtId="2" fontId="5" fillId="5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166" fontId="8" fillId="3" borderId="1" applyAlignment="1" pivotButton="0" quotePrefix="0" xfId="0">
      <alignment vertical="top"/>
    </xf>
    <xf numFmtId="165" fontId="8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8" fillId="3" borderId="1" applyAlignment="1" pivotButton="0" quotePrefix="0" xfId="0">
      <alignment vertical="top"/>
    </xf>
    <xf numFmtId="2" fontId="8" fillId="3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Семинар</author>
  </authors>
  <commentList>
    <comment ref="D6" authorId="0" shapeId="0">
      <text>
        <t>Темп роста для t = 1 не определён: нет значения w₀. Первое наблюдение в регрессию не входит.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27" customWidth="1" min="4" max="4"/>
    <col width="12" customWidth="1" min="5" max="5"/>
  </cols>
  <sheetData>
    <row r="1">
      <c r="A1" s="1" t="inlineStr">
        <is>
          <t>Задача 2.16. Кривая Филлипса: данные</t>
        </is>
      </c>
    </row>
    <row r="2">
      <c r="A2" s="2" t="inlineStr">
        <is>
          <t>Синий шрифт — исходные данные из условия, их можно менять; чёрный — формулы; зелёный — ссылки на другие листы.</t>
        </is>
      </c>
    </row>
    <row r="3">
      <c r="A3" s="2" t="inlineStr">
        <is>
          <t>Модель: δw = β₁ + β₂·(1/u) + ε, где δw — темп роста зарплаты в процентах, u — уровень безработицы в процентах.</t>
        </is>
      </c>
    </row>
    <row r="4"/>
    <row r="5">
      <c r="A5" s="3" t="inlineStr">
        <is>
          <t>t</t>
        </is>
      </c>
      <c r="B5" s="3" t="inlineStr">
        <is>
          <t>w — зарплата</t>
        </is>
      </c>
      <c r="C5" s="3" t="inlineStr">
        <is>
          <t>u — безработица, %</t>
        </is>
      </c>
      <c r="D5" s="3" t="inlineStr">
        <is>
          <t>δw = 100·(wₜ − wₜ₋₁)/wₜ₋₁</t>
        </is>
      </c>
      <c r="E5" s="3" t="inlineStr">
        <is>
          <t>z = 1/u</t>
        </is>
      </c>
    </row>
    <row r="6">
      <c r="A6" s="4" t="n">
        <v>1</v>
      </c>
      <c r="B6" s="5" t="n">
        <v>1.62</v>
      </c>
      <c r="C6" s="6" t="n">
        <v>1</v>
      </c>
      <c r="D6" s="7" t="inlineStr">
        <is>
          <t>—</t>
        </is>
      </c>
      <c r="E6" s="7" t="inlineStr">
        <is>
          <t>—</t>
        </is>
      </c>
    </row>
    <row r="7">
      <c r="A7" s="4" t="n">
        <v>2</v>
      </c>
      <c r="B7" s="5" t="n">
        <v>1.65</v>
      </c>
      <c r="C7" s="6" t="n">
        <v>1.4</v>
      </c>
      <c r="D7" s="8">
        <f>100*(B7-B6)/B6</f>
        <v/>
      </c>
      <c r="E7" s="9">
        <f>1/C7</f>
        <v/>
      </c>
    </row>
    <row r="8">
      <c r="A8" s="4" t="n">
        <v>3</v>
      </c>
      <c r="B8" s="5" t="n">
        <v>1.79</v>
      </c>
      <c r="C8" s="6" t="n">
        <v>1.1</v>
      </c>
      <c r="D8" s="8">
        <f>100*(B8-B7)/B7</f>
        <v/>
      </c>
      <c r="E8" s="9">
        <f>1/C8</f>
        <v/>
      </c>
    </row>
    <row r="9">
      <c r="A9" s="4" t="n">
        <v>4</v>
      </c>
      <c r="B9" s="5" t="n">
        <v>1.94</v>
      </c>
      <c r="C9" s="6" t="n">
        <v>1.5</v>
      </c>
      <c r="D9" s="8">
        <f>100*(B9-B8)/B8</f>
        <v/>
      </c>
      <c r="E9" s="9">
        <f>1/C9</f>
        <v/>
      </c>
    </row>
    <row r="10">
      <c r="A10" s="4" t="n">
        <v>5</v>
      </c>
      <c r="B10" s="5" t="n">
        <v>2.03</v>
      </c>
      <c r="C10" s="6" t="n">
        <v>1.5</v>
      </c>
      <c r="D10" s="8">
        <f>100*(B10-B9)/B9</f>
        <v/>
      </c>
      <c r="E10" s="9">
        <f>1/C10</f>
        <v/>
      </c>
    </row>
    <row r="11">
      <c r="A11" s="4" t="n">
        <v>6</v>
      </c>
      <c r="B11" s="5" t="n">
        <v>2.12</v>
      </c>
      <c r="C11" s="6" t="n">
        <v>1.2</v>
      </c>
      <c r="D11" s="8">
        <f>100*(B11-B10)/B10</f>
        <v/>
      </c>
      <c r="E11" s="9">
        <f>1/C11</f>
        <v/>
      </c>
    </row>
    <row r="12">
      <c r="A12" s="4" t="n">
        <v>7</v>
      </c>
      <c r="B12" s="5" t="n">
        <v>2.26</v>
      </c>
      <c r="C12" s="6" t="n">
        <v>1</v>
      </c>
      <c r="D12" s="8">
        <f>100*(B12-B11)/B11</f>
        <v/>
      </c>
      <c r="E12" s="9">
        <f>1/C12</f>
        <v/>
      </c>
    </row>
    <row r="13">
      <c r="A13" s="4" t="n">
        <v>8</v>
      </c>
      <c r="B13" s="5" t="n">
        <v>2.44</v>
      </c>
      <c r="C13" s="6" t="n">
        <v>1.1</v>
      </c>
      <c r="D13" s="8">
        <f>100*(B13-B12)/B12</f>
        <v/>
      </c>
      <c r="E13" s="9">
        <f>1/C13</f>
        <v/>
      </c>
    </row>
    <row r="14">
      <c r="A14" s="4" t="n">
        <v>9</v>
      </c>
      <c r="B14" s="5" t="n">
        <v>2.57</v>
      </c>
      <c r="C14" s="6" t="n">
        <v>1.3</v>
      </c>
      <c r="D14" s="8">
        <f>100*(B14-B13)/B13</f>
        <v/>
      </c>
      <c r="E14" s="9">
        <f>1/C14</f>
        <v/>
      </c>
    </row>
    <row r="15">
      <c r="A15" s="4" t="n">
        <v>10</v>
      </c>
      <c r="B15" s="5" t="n">
        <v>2.66</v>
      </c>
      <c r="C15" s="6" t="n">
        <v>1.8</v>
      </c>
      <c r="D15" s="8">
        <f>100*(B15-B14)/B14</f>
        <v/>
      </c>
      <c r="E15" s="9">
        <f>1/C15</f>
        <v/>
      </c>
    </row>
    <row r="16">
      <c r="A16" s="4" t="n">
        <v>11</v>
      </c>
      <c r="B16" s="5" t="n">
        <v>2.73</v>
      </c>
      <c r="C16" s="6" t="n">
        <v>1.9</v>
      </c>
      <c r="D16" s="8">
        <f>100*(B16-B15)/B15</f>
        <v/>
      </c>
      <c r="E16" s="9">
        <f>1/C16</f>
        <v/>
      </c>
    </row>
    <row r="17">
      <c r="A17" s="4" t="n">
        <v>12</v>
      </c>
      <c r="B17" s="5" t="n">
        <v>2.8</v>
      </c>
      <c r="C17" s="6" t="n">
        <v>1.5</v>
      </c>
      <c r="D17" s="8">
        <f>100*(B17-B16)/B16</f>
        <v/>
      </c>
      <c r="E17" s="9">
        <f>1/C17</f>
        <v/>
      </c>
    </row>
    <row r="18">
      <c r="A18" s="4" t="n">
        <v>13</v>
      </c>
      <c r="B18" s="5" t="n">
        <v>2.92</v>
      </c>
      <c r="C18" s="6" t="n">
        <v>1.4</v>
      </c>
      <c r="D18" s="8">
        <f>100*(B18-B17)/B17</f>
        <v/>
      </c>
      <c r="E18" s="9">
        <f>1/C18</f>
        <v/>
      </c>
    </row>
    <row r="19">
      <c r="A19" s="4" t="n">
        <v>14</v>
      </c>
      <c r="B19" s="5" t="n">
        <v>3.02</v>
      </c>
      <c r="C19" s="6" t="n">
        <v>1.8</v>
      </c>
      <c r="D19" s="8">
        <f>100*(B19-B18)/B18</f>
        <v/>
      </c>
      <c r="E19" s="9">
        <f>1/C19</f>
        <v/>
      </c>
    </row>
    <row r="20">
      <c r="A20" s="4" t="n">
        <v>15</v>
      </c>
      <c r="B20" s="5" t="n">
        <v>3.13</v>
      </c>
      <c r="C20" s="6" t="n">
        <v>1.1</v>
      </c>
      <c r="D20" s="8">
        <f>100*(B20-B19)/B19</f>
        <v/>
      </c>
      <c r="E20" s="9">
        <f>1/C20</f>
        <v/>
      </c>
    </row>
    <row r="21">
      <c r="A21" s="4" t="n">
        <v>16</v>
      </c>
      <c r="B21" s="5" t="n">
        <v>3.28</v>
      </c>
      <c r="C21" s="6" t="n">
        <v>1.5</v>
      </c>
      <c r="D21" s="8">
        <f>100*(B21-B20)/B20</f>
        <v/>
      </c>
      <c r="E21" s="9">
        <f>1/C21</f>
        <v/>
      </c>
    </row>
    <row r="22">
      <c r="A22" s="4" t="n">
        <v>17</v>
      </c>
      <c r="B22" s="5" t="n">
        <v>3.43</v>
      </c>
      <c r="C22" s="6" t="n">
        <v>1.3</v>
      </c>
      <c r="D22" s="8">
        <f>100*(B22-B21)/B21</f>
        <v/>
      </c>
      <c r="E22" s="9">
        <f>1/C22</f>
        <v/>
      </c>
    </row>
    <row r="23">
      <c r="A23" s="4" t="n">
        <v>18</v>
      </c>
      <c r="B23" s="5" t="n">
        <v>3.58</v>
      </c>
      <c r="C23" s="6" t="n">
        <v>1.4</v>
      </c>
      <c r="D23" s="8">
        <f>100*(B23-B22)/B22</f>
        <v/>
      </c>
      <c r="E23" s="9">
        <f>1/C23</f>
        <v/>
      </c>
    </row>
    <row r="24"/>
    <row r="25">
      <c r="A25" s="2" t="inlineStr">
        <is>
          <t>Источник данных: условие задачи 2.16, «Сборник задач к начальному курсу эконометрики» (РАНХиГС).</t>
        </is>
      </c>
    </row>
    <row r="26">
      <c r="A26" s="2" t="inlineStr">
        <is>
          <t>В регрессии участвуют строки t = 2…18: для t = 1 темп роста не определён.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а) Оценки коэффициентов и проверка значимости</t>
        </is>
      </c>
    </row>
    <row r="2">
      <c r="A2" s="2" t="inlineStr">
        <is>
          <t>Регрессия δw на z = 1/u со свободным членом по наблюдениям t = 2…18.</t>
        </is>
      </c>
    </row>
    <row r="3"/>
    <row r="4">
      <c r="A4" s="10" t="inlineStr">
        <is>
          <t>Шаг 1. Средние и суммы в отклонениях</t>
        </is>
      </c>
    </row>
    <row r="5">
      <c r="A5" s="11" t="inlineStr">
        <is>
          <t>n — число наблюдений</t>
        </is>
      </c>
      <c r="B5" s="12">
        <f>COUNT(Данные!$D$7:$D$23)</f>
        <v/>
      </c>
      <c r="C5" s="13" t="inlineStr">
        <is>
          <t>=СЧЁТ(столбец δw)</t>
        </is>
      </c>
    </row>
    <row r="6">
      <c r="A6" s="11" t="inlineStr">
        <is>
          <t>z̄ — среднее 1/u</t>
        </is>
      </c>
      <c r="B6" s="14">
        <f>AVERAGE(Данные!$E$7:$E$23)</f>
        <v/>
      </c>
      <c r="C6" s="13" t="inlineStr">
        <is>
          <t>=СРЗНАЧ(столбец z)</t>
        </is>
      </c>
    </row>
    <row r="7">
      <c r="A7" s="11" t="inlineStr">
        <is>
          <t>δw̄ — среднее δw</t>
        </is>
      </c>
      <c r="B7" s="14">
        <f>AVERAGE(Данные!$D$7:$D$23)</f>
        <v/>
      </c>
      <c r="C7" s="13" t="inlineStr">
        <is>
          <t>=СРЗНАЧ(столбец δw)</t>
        </is>
      </c>
    </row>
    <row r="8">
      <c r="A8" s="11" t="inlineStr">
        <is>
          <t>Σ(z − z̄)²</t>
        </is>
      </c>
      <c r="B8" s="14">
        <f>DEVSQ(Данные!$E$7:$E$23)</f>
        <v/>
      </c>
      <c r="C8" s="13" t="inlineStr">
        <is>
          <t>=КВАДРОТКЛ(столбец z)</t>
        </is>
      </c>
    </row>
    <row r="9">
      <c r="A9" s="11" t="inlineStr">
        <is>
          <t>Σ(z − z̄)(δw − δw̄)</t>
        </is>
      </c>
      <c r="B9" s="14">
        <f>SUMPRODUCT(Данные!$E$7:$E$23-B6,Данные!$D$7:$D$23-B7)</f>
        <v/>
      </c>
      <c r="C9" s="13" t="inlineStr">
        <is>
          <t>=СУММПРОИЗВ(z − z̄; δw − δw̄)</t>
        </is>
      </c>
    </row>
    <row r="10">
      <c r="A10" s="11" t="inlineStr">
        <is>
          <t>TSS = Σ(δw − δw̄)²</t>
        </is>
      </c>
      <c r="B10" s="15">
        <f>DEVSQ(Данные!$D$7:$D$23)</f>
        <v/>
      </c>
      <c r="C10" s="13" t="inlineStr">
        <is>
          <t>=КВАДРОТКЛ(столбец δw)</t>
        </is>
      </c>
    </row>
    <row r="11"/>
    <row r="12">
      <c r="A12" s="10" t="inlineStr">
        <is>
          <t>Шаг 2. Оценки МНК</t>
        </is>
      </c>
    </row>
    <row r="13">
      <c r="A13" s="11" t="inlineStr">
        <is>
          <t>β̂₂ — коэффициент при 1/u</t>
        </is>
      </c>
      <c r="B13" s="16">
        <f>B9/B8</f>
        <v/>
      </c>
      <c r="C13" s="13" t="inlineStr">
        <is>
          <t>β̂₂ = Σ(z − z̄)(δw − δw̄) / Σ(z − z̄)²</t>
        </is>
      </c>
    </row>
    <row r="14">
      <c r="A14" s="11" t="inlineStr">
        <is>
          <t>β̂₁ — свободный член</t>
        </is>
      </c>
      <c r="B14" s="16">
        <f>B7-B13*B6</f>
        <v/>
      </c>
      <c r="C14" s="13" t="inlineStr">
        <is>
          <t>β̂₁ = δw̄ − β̂₂·z̄</t>
        </is>
      </c>
    </row>
    <row r="15"/>
    <row r="16">
      <c r="A16" s="10" t="inlineStr">
        <is>
          <t>Шаг 3. Подогнанные значения и остатки</t>
        </is>
      </c>
    </row>
    <row r="17">
      <c r="A17" s="3" t="inlineStr">
        <is>
          <t>t</t>
        </is>
      </c>
      <c r="B17" s="3" t="inlineStr">
        <is>
          <t>δw</t>
        </is>
      </c>
      <c r="C17" s="3" t="inlineStr">
        <is>
          <t>z = 1/u</t>
        </is>
      </c>
      <c r="D17" s="3" t="inlineStr">
        <is>
          <t>δŵ = β̂₁ + β̂₂·z</t>
        </is>
      </c>
      <c r="E17" s="3" t="inlineStr">
        <is>
          <t>e = δw − δŵ</t>
        </is>
      </c>
      <c r="F17" s="3" t="inlineStr">
        <is>
          <t>e²</t>
        </is>
      </c>
    </row>
    <row r="18">
      <c r="A18" s="17">
        <f>Данные!A7</f>
        <v/>
      </c>
      <c r="B18" s="18">
        <f>Данные!D7</f>
        <v/>
      </c>
      <c r="C18" s="19">
        <f>Данные!E7</f>
        <v/>
      </c>
      <c r="D18" s="8">
        <f>$B$14+$B$13*C18</f>
        <v/>
      </c>
      <c r="E18" s="8">
        <f>B18-D18</f>
        <v/>
      </c>
      <c r="F18" s="8">
        <f>E18^2</f>
        <v/>
      </c>
    </row>
    <row r="19">
      <c r="A19" s="17">
        <f>Данные!A8</f>
        <v/>
      </c>
      <c r="B19" s="18">
        <f>Данные!D8</f>
        <v/>
      </c>
      <c r="C19" s="19">
        <f>Данные!E8</f>
        <v/>
      </c>
      <c r="D19" s="8">
        <f>$B$14+$B$13*C19</f>
        <v/>
      </c>
      <c r="E19" s="8">
        <f>B19-D19</f>
        <v/>
      </c>
      <c r="F19" s="8">
        <f>E19^2</f>
        <v/>
      </c>
    </row>
    <row r="20">
      <c r="A20" s="17">
        <f>Данные!A9</f>
        <v/>
      </c>
      <c r="B20" s="18">
        <f>Данные!D9</f>
        <v/>
      </c>
      <c r="C20" s="19">
        <f>Данные!E9</f>
        <v/>
      </c>
      <c r="D20" s="8">
        <f>$B$14+$B$13*C20</f>
        <v/>
      </c>
      <c r="E20" s="8">
        <f>B20-D20</f>
        <v/>
      </c>
      <c r="F20" s="8">
        <f>E20^2</f>
        <v/>
      </c>
    </row>
    <row r="21">
      <c r="A21" s="17">
        <f>Данные!A10</f>
        <v/>
      </c>
      <c r="B21" s="18">
        <f>Данные!D10</f>
        <v/>
      </c>
      <c r="C21" s="19">
        <f>Данные!E10</f>
        <v/>
      </c>
      <c r="D21" s="8">
        <f>$B$14+$B$13*C21</f>
        <v/>
      </c>
      <c r="E21" s="8">
        <f>B21-D21</f>
        <v/>
      </c>
      <c r="F21" s="8">
        <f>E21^2</f>
        <v/>
      </c>
    </row>
    <row r="22">
      <c r="A22" s="17">
        <f>Данные!A11</f>
        <v/>
      </c>
      <c r="B22" s="18">
        <f>Данные!D11</f>
        <v/>
      </c>
      <c r="C22" s="19">
        <f>Данные!E11</f>
        <v/>
      </c>
      <c r="D22" s="8">
        <f>$B$14+$B$13*C22</f>
        <v/>
      </c>
      <c r="E22" s="8">
        <f>B22-D22</f>
        <v/>
      </c>
      <c r="F22" s="8">
        <f>E22^2</f>
        <v/>
      </c>
    </row>
    <row r="23">
      <c r="A23" s="17">
        <f>Данные!A12</f>
        <v/>
      </c>
      <c r="B23" s="18">
        <f>Данные!D12</f>
        <v/>
      </c>
      <c r="C23" s="19">
        <f>Данные!E12</f>
        <v/>
      </c>
      <c r="D23" s="8">
        <f>$B$14+$B$13*C23</f>
        <v/>
      </c>
      <c r="E23" s="8">
        <f>B23-D23</f>
        <v/>
      </c>
      <c r="F23" s="8">
        <f>E23^2</f>
        <v/>
      </c>
    </row>
    <row r="24">
      <c r="A24" s="17">
        <f>Данные!A13</f>
        <v/>
      </c>
      <c r="B24" s="18">
        <f>Данные!D13</f>
        <v/>
      </c>
      <c r="C24" s="19">
        <f>Данные!E13</f>
        <v/>
      </c>
      <c r="D24" s="8">
        <f>$B$14+$B$13*C24</f>
        <v/>
      </c>
      <c r="E24" s="8">
        <f>B24-D24</f>
        <v/>
      </c>
      <c r="F24" s="8">
        <f>E24^2</f>
        <v/>
      </c>
    </row>
    <row r="25">
      <c r="A25" s="17">
        <f>Данные!A14</f>
        <v/>
      </c>
      <c r="B25" s="18">
        <f>Данные!D14</f>
        <v/>
      </c>
      <c r="C25" s="19">
        <f>Данные!E14</f>
        <v/>
      </c>
      <c r="D25" s="8">
        <f>$B$14+$B$13*C25</f>
        <v/>
      </c>
      <c r="E25" s="8">
        <f>B25-D25</f>
        <v/>
      </c>
      <c r="F25" s="8">
        <f>E25^2</f>
        <v/>
      </c>
    </row>
    <row r="26">
      <c r="A26" s="17">
        <f>Данные!A15</f>
        <v/>
      </c>
      <c r="B26" s="18">
        <f>Данные!D15</f>
        <v/>
      </c>
      <c r="C26" s="19">
        <f>Данные!E15</f>
        <v/>
      </c>
      <c r="D26" s="8">
        <f>$B$14+$B$13*C26</f>
        <v/>
      </c>
      <c r="E26" s="8">
        <f>B26-D26</f>
        <v/>
      </c>
      <c r="F26" s="8">
        <f>E26^2</f>
        <v/>
      </c>
    </row>
    <row r="27">
      <c r="A27" s="17">
        <f>Данные!A16</f>
        <v/>
      </c>
      <c r="B27" s="18">
        <f>Данные!D16</f>
        <v/>
      </c>
      <c r="C27" s="19">
        <f>Данные!E16</f>
        <v/>
      </c>
      <c r="D27" s="8">
        <f>$B$14+$B$13*C27</f>
        <v/>
      </c>
      <c r="E27" s="8">
        <f>B27-D27</f>
        <v/>
      </c>
      <c r="F27" s="8">
        <f>E27^2</f>
        <v/>
      </c>
    </row>
    <row r="28">
      <c r="A28" s="17">
        <f>Данные!A17</f>
        <v/>
      </c>
      <c r="B28" s="18">
        <f>Данные!D17</f>
        <v/>
      </c>
      <c r="C28" s="19">
        <f>Данные!E17</f>
        <v/>
      </c>
      <c r="D28" s="8">
        <f>$B$14+$B$13*C28</f>
        <v/>
      </c>
      <c r="E28" s="8">
        <f>B28-D28</f>
        <v/>
      </c>
      <c r="F28" s="8">
        <f>E28^2</f>
        <v/>
      </c>
    </row>
    <row r="29">
      <c r="A29" s="17">
        <f>Данные!A18</f>
        <v/>
      </c>
      <c r="B29" s="18">
        <f>Данные!D18</f>
        <v/>
      </c>
      <c r="C29" s="19">
        <f>Данные!E18</f>
        <v/>
      </c>
      <c r="D29" s="8">
        <f>$B$14+$B$13*C29</f>
        <v/>
      </c>
      <c r="E29" s="8">
        <f>B29-D29</f>
        <v/>
      </c>
      <c r="F29" s="8">
        <f>E29^2</f>
        <v/>
      </c>
    </row>
    <row r="30">
      <c r="A30" s="17">
        <f>Данные!A19</f>
        <v/>
      </c>
      <c r="B30" s="18">
        <f>Данные!D19</f>
        <v/>
      </c>
      <c r="C30" s="19">
        <f>Данные!E19</f>
        <v/>
      </c>
      <c r="D30" s="8">
        <f>$B$14+$B$13*C30</f>
        <v/>
      </c>
      <c r="E30" s="8">
        <f>B30-D30</f>
        <v/>
      </c>
      <c r="F30" s="8">
        <f>E30^2</f>
        <v/>
      </c>
    </row>
    <row r="31">
      <c r="A31" s="17">
        <f>Данные!A20</f>
        <v/>
      </c>
      <c r="B31" s="18">
        <f>Данные!D20</f>
        <v/>
      </c>
      <c r="C31" s="19">
        <f>Данные!E20</f>
        <v/>
      </c>
      <c r="D31" s="8">
        <f>$B$14+$B$13*C31</f>
        <v/>
      </c>
      <c r="E31" s="8">
        <f>B31-D31</f>
        <v/>
      </c>
      <c r="F31" s="8">
        <f>E31^2</f>
        <v/>
      </c>
    </row>
    <row r="32">
      <c r="A32" s="17">
        <f>Данные!A21</f>
        <v/>
      </c>
      <c r="B32" s="18">
        <f>Данные!D21</f>
        <v/>
      </c>
      <c r="C32" s="19">
        <f>Данные!E21</f>
        <v/>
      </c>
      <c r="D32" s="8">
        <f>$B$14+$B$13*C32</f>
        <v/>
      </c>
      <c r="E32" s="8">
        <f>B32-D32</f>
        <v/>
      </c>
      <c r="F32" s="8">
        <f>E32^2</f>
        <v/>
      </c>
    </row>
    <row r="33">
      <c r="A33" s="17">
        <f>Данные!A22</f>
        <v/>
      </c>
      <c r="B33" s="18">
        <f>Данные!D22</f>
        <v/>
      </c>
      <c r="C33" s="19">
        <f>Данные!E22</f>
        <v/>
      </c>
      <c r="D33" s="8">
        <f>$B$14+$B$13*C33</f>
        <v/>
      </c>
      <c r="E33" s="8">
        <f>B33-D33</f>
        <v/>
      </c>
      <c r="F33" s="8">
        <f>E33^2</f>
        <v/>
      </c>
    </row>
    <row r="34">
      <c r="A34" s="17">
        <f>Данные!A23</f>
        <v/>
      </c>
      <c r="B34" s="18">
        <f>Данные!D23</f>
        <v/>
      </c>
      <c r="C34" s="19">
        <f>Данные!E23</f>
        <v/>
      </c>
      <c r="D34" s="8">
        <f>$B$14+$B$13*C34</f>
        <v/>
      </c>
      <c r="E34" s="8">
        <f>B34-D34</f>
        <v/>
      </c>
      <c r="F34" s="8">
        <f>E34^2</f>
        <v/>
      </c>
    </row>
    <row r="35">
      <c r="A35" s="20" t="inlineStr">
        <is>
          <t>Сумма</t>
        </is>
      </c>
      <c r="B35" s="21" t="n"/>
      <c r="C35" s="21" t="n"/>
      <c r="D35" s="21" t="n"/>
      <c r="E35" s="8">
        <f>SUM(E18:E34)</f>
        <v/>
      </c>
      <c r="F35" s="8">
        <f>SUM(F18:F34)</f>
        <v/>
      </c>
    </row>
    <row r="36"/>
    <row r="37">
      <c r="A37" s="10" t="inlineStr">
        <is>
          <t>Шаг 4. Суммы квадратов и R²</t>
        </is>
      </c>
    </row>
    <row r="38">
      <c r="A38" s="11" t="inlineStr">
        <is>
          <t>ESS = Σe²</t>
        </is>
      </c>
      <c r="B38" s="15">
        <f>F35</f>
        <v/>
      </c>
    </row>
    <row r="39">
      <c r="A39" s="11" t="inlineStr">
        <is>
          <t>TSS</t>
        </is>
      </c>
      <c r="B39" s="15">
        <f>B10</f>
        <v/>
      </c>
    </row>
    <row r="40">
      <c r="A40" s="11" t="inlineStr">
        <is>
          <t>RSS = Σ(δŵ − δw̄)²</t>
        </is>
      </c>
      <c r="B40" s="15">
        <f>DEVSQ(D18:D34)</f>
        <v/>
      </c>
    </row>
    <row r="41">
      <c r="A41" s="11" t="inlineStr">
        <is>
          <t>R² = RSS/TSS</t>
        </is>
      </c>
      <c r="B41" s="22">
        <f>B40/B39</f>
        <v/>
      </c>
    </row>
    <row r="42">
      <c r="A42" s="11" t="inlineStr">
        <is>
          <t>R² = 1 − ESS/TSS</t>
        </is>
      </c>
      <c r="B42" s="22">
        <f>1-B38/B39</f>
        <v/>
      </c>
      <c r="C42" s="13" t="inlineStr">
        <is>
          <t>совпадает с предыдущим: в модели есть свободный член</t>
        </is>
      </c>
    </row>
    <row r="43">
      <c r="A43" s="11" t="inlineStr">
        <is>
          <t>Проверка: RSS + ESS − TSS</t>
        </is>
      </c>
      <c r="B43" s="23">
        <f>B40+B38-B39</f>
        <v/>
      </c>
      <c r="C43" s="13" t="inlineStr">
        <is>
          <t>должно быть 0</t>
        </is>
      </c>
    </row>
    <row r="44">
      <c r="A44" s="11" t="inlineStr">
        <is>
          <t>Проверка: Σe</t>
        </is>
      </c>
      <c r="B44" s="23">
        <f>E35</f>
        <v/>
      </c>
      <c r="C44" s="13" t="inlineStr">
        <is>
          <t>должно быть 0</t>
        </is>
      </c>
    </row>
    <row r="45"/>
    <row r="46">
      <c r="A46" s="10" t="inlineStr">
        <is>
          <t>Шаг 5. Стандартные ошибки и значимость</t>
        </is>
      </c>
    </row>
    <row r="47">
      <c r="A47" s="11" t="inlineStr">
        <is>
          <t>n − 2 — степени свободы</t>
        </is>
      </c>
      <c r="B47" s="12">
        <f>B5-2</f>
        <v/>
      </c>
    </row>
    <row r="48">
      <c r="A48" s="11" t="inlineStr">
        <is>
          <t>s² = ESS/(n − 2)</t>
        </is>
      </c>
      <c r="B48" s="14">
        <f>B38/B47</f>
        <v/>
      </c>
    </row>
    <row r="49">
      <c r="A49" s="11" t="inlineStr">
        <is>
          <t>s(β̂₂) = √(s² / Σ(z − z̄)²)</t>
        </is>
      </c>
      <c r="B49" s="22">
        <f>SQRT(B48/B8)</f>
        <v/>
      </c>
    </row>
    <row r="50">
      <c r="A50" s="11" t="inlineStr">
        <is>
          <t>s(β̂₁) = √(s²·(1/n + z̄²/Σ(z − z̄)²))</t>
        </is>
      </c>
      <c r="B50" s="22">
        <f>SQRT(B48*(1/B5+B6^2/B8))</f>
        <v/>
      </c>
    </row>
    <row r="51">
      <c r="A51" s="11" t="inlineStr">
        <is>
          <t>t(β̂₂) = β̂₂ / s(β̂₂)</t>
        </is>
      </c>
      <c r="B51" s="14">
        <f>B13/B49</f>
        <v/>
      </c>
    </row>
    <row r="52">
      <c r="A52" s="11" t="inlineStr">
        <is>
          <t>t(β̂₁) = β̂₁ / s(β̂₁)</t>
        </is>
      </c>
      <c r="B52" s="14">
        <f>B14/B50</f>
        <v/>
      </c>
    </row>
    <row r="53">
      <c r="A53" s="11" t="inlineStr">
        <is>
          <t>P-значение для β̂₂</t>
        </is>
      </c>
      <c r="B53" s="22">
        <f>TDIST(ABS(B51),B47,2)</f>
        <v/>
      </c>
      <c r="C53" s="13" t="inlineStr">
        <is>
          <t>=СТЬЮДРАСП(|t|; n − 2; 2)</t>
        </is>
      </c>
    </row>
    <row r="54">
      <c r="A54" s="11" t="inlineStr">
        <is>
          <t>P-значение для β̂₁</t>
        </is>
      </c>
      <c r="B54" s="22">
        <f>TDIST(ABS(B52),B47,2)</f>
        <v/>
      </c>
      <c r="C54" s="13" t="inlineStr">
        <is>
          <t>=СТЬЮДРАСП(|t|; n − 2; 2)</t>
        </is>
      </c>
    </row>
    <row r="55">
      <c r="A55" s="11" t="inlineStr">
        <is>
          <t>β₂ значим на уровне 5 %?</t>
        </is>
      </c>
      <c r="B55" s="24">
        <f>IF(B53&lt;0.05,"да","нет")</f>
        <v/>
      </c>
    </row>
    <row r="56">
      <c r="A56" s="11" t="inlineStr">
        <is>
          <t>β₁ значим на уровне 5 %?</t>
        </is>
      </c>
      <c r="B56" s="24">
        <f>IF(B54&lt;0.05,"да","нет")</f>
        <v/>
      </c>
    </row>
    <row r="57">
      <c r="A57" s="11" t="inlineStr">
        <is>
          <t>F = RSS / (ESS/(n − 2))</t>
        </is>
      </c>
      <c r="B57" s="15">
        <f>B40/(B38/B47)</f>
        <v/>
      </c>
    </row>
    <row r="58">
      <c r="A58" s="11" t="inlineStr">
        <is>
          <t>P-значение для F</t>
        </is>
      </c>
      <c r="B58" s="14">
        <f>FDIST(B57,1,B47)</f>
        <v/>
      </c>
      <c r="C58" s="13" t="inlineStr">
        <is>
          <t>=FРАСП(F; 1; n − 2)</t>
        </is>
      </c>
    </row>
    <row r="59">
      <c r="A59" s="11" t="inlineStr">
        <is>
          <t>Проверка: F − t(β̂₂)²</t>
        </is>
      </c>
      <c r="B59" s="23">
        <f>B57-B51^2</f>
        <v/>
      </c>
      <c r="C59" s="13" t="inlineStr">
        <is>
          <t>в парной регрессии F = t², должно быть 0</t>
        </is>
      </c>
    </row>
    <row r="60"/>
    <row r="61">
      <c r="A61" s="10" t="inlineStr">
        <is>
          <t>Проверка встроенной функцией ЛИНЕЙН</t>
        </is>
      </c>
    </row>
    <row r="62">
      <c r="A62" s="2" t="inlineStr">
        <is>
          <t>ЛИНЕЙН(δw; z; ИСТИНА; ИСТИНА) возвращает таблицу 5×2: коэффициенты, их ошибки, R² и s, F и n − 2, RSS и ESS. Нужный элемент достаётся через ИНДЕКС.</t>
        </is>
      </c>
    </row>
    <row r="63">
      <c r="A63" s="3" t="inlineStr">
        <is>
          <t>Величина</t>
        </is>
      </c>
      <c r="B63" s="3" t="inlineStr">
        <is>
          <t>Вручную</t>
        </is>
      </c>
      <c r="C63" s="3" t="inlineStr">
        <is>
          <t>ЛИНЕЙН</t>
        </is>
      </c>
      <c r="D63" s="3" t="inlineStr">
        <is>
          <t>Разность</t>
        </is>
      </c>
    </row>
    <row r="64">
      <c r="A64" s="20" t="inlineStr">
        <is>
          <t>β̂₂</t>
        </is>
      </c>
      <c r="B64" s="25">
        <f>B13</f>
        <v/>
      </c>
      <c r="C64" s="25">
        <f>INDEX(LINEST(Данные!$D$7:$D$23,Данные!$E$7:$E$23,TRUE,TRUE),1,1)</f>
        <v/>
      </c>
      <c r="D64" s="26">
        <f>C64-B64</f>
        <v/>
      </c>
    </row>
    <row r="65">
      <c r="A65" s="20" t="inlineStr">
        <is>
          <t>β̂₁</t>
        </is>
      </c>
      <c r="B65" s="25">
        <f>B14</f>
        <v/>
      </c>
      <c r="C65" s="25">
        <f>INDEX(LINEST(Данные!$D$7:$D$23,Данные!$E$7:$E$23,TRUE,TRUE),1,2)</f>
        <v/>
      </c>
      <c r="D65" s="26">
        <f>C65-B65</f>
        <v/>
      </c>
    </row>
    <row r="66">
      <c r="A66" s="20" t="inlineStr">
        <is>
          <t>s(β̂₂)</t>
        </is>
      </c>
      <c r="B66" s="9">
        <f>B49</f>
        <v/>
      </c>
      <c r="C66" s="9">
        <f>INDEX(LINEST(Данные!$D$7:$D$23,Данные!$E$7:$E$23,TRUE,TRUE),2,1)</f>
        <v/>
      </c>
      <c r="D66" s="26">
        <f>C66-B66</f>
        <v/>
      </c>
    </row>
    <row r="67">
      <c r="A67" s="20" t="inlineStr">
        <is>
          <t>s(β̂₁)</t>
        </is>
      </c>
      <c r="B67" s="9">
        <f>B50</f>
        <v/>
      </c>
      <c r="C67" s="9">
        <f>INDEX(LINEST(Данные!$D$7:$D$23,Данные!$E$7:$E$23,TRUE,TRUE),2,2)</f>
        <v/>
      </c>
      <c r="D67" s="26">
        <f>C67-B67</f>
        <v/>
      </c>
    </row>
    <row r="68">
      <c r="A68" s="20" t="inlineStr">
        <is>
          <t>R²</t>
        </is>
      </c>
      <c r="B68" s="9">
        <f>B41</f>
        <v/>
      </c>
      <c r="C68" s="9">
        <f>INDEX(LINEST(Данные!$D$7:$D$23,Данные!$E$7:$E$23,TRUE,TRUE),3,1)</f>
        <v/>
      </c>
      <c r="D68" s="26">
        <f>C68-B68</f>
        <v/>
      </c>
    </row>
    <row r="69">
      <c r="A69" s="20" t="inlineStr">
        <is>
          <t>F</t>
        </is>
      </c>
      <c r="B69" s="8">
        <f>B57</f>
        <v/>
      </c>
      <c r="C69" s="8">
        <f>INDEX(LINEST(Данные!$D$7:$D$23,Данные!$E$7:$E$23,TRUE,TRUE),4,1)</f>
        <v/>
      </c>
      <c r="D69" s="26">
        <f>C69-B69</f>
        <v/>
      </c>
    </row>
    <row r="70">
      <c r="A70" s="20" t="inlineStr">
        <is>
          <t>n − 2</t>
        </is>
      </c>
      <c r="B70" s="4">
        <f>B47</f>
        <v/>
      </c>
      <c r="C70" s="4">
        <f>INDEX(LINEST(Данные!$D$7:$D$23,Данные!$E$7:$E$23,TRUE,TRUE),4,2)</f>
        <v/>
      </c>
      <c r="D70" s="26">
        <f>C70-B70</f>
        <v/>
      </c>
    </row>
    <row r="71">
      <c r="A71" s="20" t="inlineStr">
        <is>
          <t>RSS</t>
        </is>
      </c>
      <c r="B71" s="8">
        <f>B40</f>
        <v/>
      </c>
      <c r="C71" s="8">
        <f>INDEX(LINEST(Данные!$D$7:$D$23,Данные!$E$7:$E$23,TRUE,TRUE),5,1)</f>
        <v/>
      </c>
      <c r="D71" s="26">
        <f>C71-B71</f>
        <v/>
      </c>
    </row>
    <row r="72">
      <c r="A72" s="20" t="inlineStr">
        <is>
          <t>ESS</t>
        </is>
      </c>
      <c r="B72" s="8">
        <f>B38</f>
        <v/>
      </c>
      <c r="C72" s="8">
        <f>INDEX(LINEST(Данные!$D$7:$D$23,Данные!$E$7:$E$23,TRUE,TRUE),5,2)</f>
        <v/>
      </c>
      <c r="D72" s="26">
        <f>C72-B72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</cols>
  <sheetData>
    <row r="1">
      <c r="A1" s="1" t="inlineStr">
        <is>
          <t>б) Естественный уровень безработицы</t>
        </is>
      </c>
    </row>
    <row r="2">
      <c r="A2" s="2" t="inlineStr">
        <is>
          <t>Это уровень u₀, при котором прогнозный темп роста зарплаты равен нулю: β̂₁ + β̂₂/u₀ = 0, откуда u₀ = −β̂₂/β̂₁.</t>
        </is>
      </c>
    </row>
    <row r="3"/>
    <row r="4">
      <c r="A4" s="11" t="inlineStr">
        <is>
          <t>β̂₁</t>
        </is>
      </c>
      <c r="B4" s="27">
        <f>'а) Оценки'!B14</f>
        <v/>
      </c>
    </row>
    <row r="5">
      <c r="A5" s="11" t="inlineStr">
        <is>
          <t>β̂₂</t>
        </is>
      </c>
      <c r="B5" s="27">
        <f>'а) Оценки'!B13</f>
        <v/>
      </c>
    </row>
    <row r="6">
      <c r="A6" s="11" t="inlineStr">
        <is>
          <t>u₀ = −β̂₂/β̂₁, %</t>
        </is>
      </c>
      <c r="B6" s="28">
        <f>-B5/B4</f>
        <v/>
      </c>
    </row>
    <row r="7">
      <c r="A7" s="11" t="inlineStr">
        <is>
          <t>Проверка: β̂₁ + β̂₂/u₀</t>
        </is>
      </c>
      <c r="B7" s="23">
        <f>B4+B5/B6</f>
        <v/>
      </c>
      <c r="C7" s="13" t="inlineStr">
        <is>
          <t>должно быть 0</t>
        </is>
      </c>
    </row>
    <row r="8"/>
    <row r="9">
      <c r="A9" s="10" t="inlineStr">
        <is>
          <t>Насколько надёжна эта оценка</t>
        </is>
      </c>
    </row>
    <row r="10">
      <c r="A10" s="11" t="inlineStr">
        <is>
          <t>Наименьшая наблюдаемая u, %</t>
        </is>
      </c>
      <c r="B10" s="29">
        <f>MIN(Данные!$C$7:$C$23)</f>
        <v/>
      </c>
    </row>
    <row r="11">
      <c r="A11" s="11" t="inlineStr">
        <is>
          <t>Наибольшая наблюдаемая u, %</t>
        </is>
      </c>
      <c r="B11" s="29">
        <f>MAX(Данные!$C$7:$C$23)</f>
        <v/>
      </c>
    </row>
    <row r="12">
      <c r="A12" s="30">
        <f>IF(B6&gt;B11,"u₀ лежит выше всех наблюдаемых значений u — это экстраполяция, к ней нужно относиться осторожно.","u₀ лежит в пределах наблюдаемых значений u.")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4" customWidth="1" min="4" max="4"/>
  </cols>
  <sheetData>
    <row r="1">
      <c r="A1" s="1" t="inlineStr">
        <is>
          <t>в) Когда безработица сильнее всего влияла на темп роста зарплаты</t>
        </is>
      </c>
    </row>
    <row r="2">
      <c r="A2" s="2" t="inlineStr">
        <is>
          <t>Модель нелинейна по u, поэтому эффект зависит от уровня безработицы: ∂δw/∂u = −β̂₂/u². Чем ниже u, тем эффект сильнее.</t>
        </is>
      </c>
    </row>
    <row r="3"/>
    <row r="4">
      <c r="A4" s="11" t="inlineStr">
        <is>
          <t>β̂₂</t>
        </is>
      </c>
      <c r="B4" s="27">
        <f>'а) Оценки'!B13</f>
        <v/>
      </c>
    </row>
    <row r="5"/>
    <row r="6">
      <c r="A6" s="3" t="inlineStr">
        <is>
          <t>t</t>
        </is>
      </c>
      <c r="B6" s="3" t="inlineStr">
        <is>
          <t>u, %</t>
        </is>
      </c>
      <c r="C6" s="3" t="inlineStr">
        <is>
          <t>∂δw/∂u = −β̂₂/u²</t>
        </is>
      </c>
      <c r="D6" s="3" t="inlineStr">
        <is>
          <t>|∂δw/∂u|</t>
        </is>
      </c>
    </row>
    <row r="7">
      <c r="A7" s="17">
        <f>Данные!A7</f>
        <v/>
      </c>
      <c r="B7" s="31">
        <f>Данные!C7</f>
        <v/>
      </c>
      <c r="C7" s="8">
        <f>-$B$4/B7^2</f>
        <v/>
      </c>
      <c r="D7" s="8">
        <f>ABS(C7)</f>
        <v/>
      </c>
    </row>
    <row r="8">
      <c r="A8" s="17">
        <f>Данные!A8</f>
        <v/>
      </c>
      <c r="B8" s="31">
        <f>Данные!C8</f>
        <v/>
      </c>
      <c r="C8" s="8">
        <f>-$B$4/B8^2</f>
        <v/>
      </c>
      <c r="D8" s="8">
        <f>ABS(C8)</f>
        <v/>
      </c>
    </row>
    <row r="9">
      <c r="A9" s="17">
        <f>Данные!A9</f>
        <v/>
      </c>
      <c r="B9" s="31">
        <f>Данные!C9</f>
        <v/>
      </c>
      <c r="C9" s="8">
        <f>-$B$4/B9^2</f>
        <v/>
      </c>
      <c r="D9" s="8">
        <f>ABS(C9)</f>
        <v/>
      </c>
    </row>
    <row r="10">
      <c r="A10" s="17">
        <f>Данные!A10</f>
        <v/>
      </c>
      <c r="B10" s="31">
        <f>Данные!C10</f>
        <v/>
      </c>
      <c r="C10" s="8">
        <f>-$B$4/B10^2</f>
        <v/>
      </c>
      <c r="D10" s="8">
        <f>ABS(C10)</f>
        <v/>
      </c>
    </row>
    <row r="11">
      <c r="A11" s="17">
        <f>Данные!A11</f>
        <v/>
      </c>
      <c r="B11" s="31">
        <f>Данные!C11</f>
        <v/>
      </c>
      <c r="C11" s="8">
        <f>-$B$4/B11^2</f>
        <v/>
      </c>
      <c r="D11" s="8">
        <f>ABS(C11)</f>
        <v/>
      </c>
    </row>
    <row r="12">
      <c r="A12" s="17">
        <f>Данные!A12</f>
        <v/>
      </c>
      <c r="B12" s="31">
        <f>Данные!C12</f>
        <v/>
      </c>
      <c r="C12" s="8">
        <f>-$B$4/B12^2</f>
        <v/>
      </c>
      <c r="D12" s="8">
        <f>ABS(C12)</f>
        <v/>
      </c>
    </row>
    <row r="13">
      <c r="A13" s="17">
        <f>Данные!A13</f>
        <v/>
      </c>
      <c r="B13" s="31">
        <f>Данные!C13</f>
        <v/>
      </c>
      <c r="C13" s="8">
        <f>-$B$4/B13^2</f>
        <v/>
      </c>
      <c r="D13" s="8">
        <f>ABS(C13)</f>
        <v/>
      </c>
    </row>
    <row r="14">
      <c r="A14" s="17">
        <f>Данные!A14</f>
        <v/>
      </c>
      <c r="B14" s="31">
        <f>Данные!C14</f>
        <v/>
      </c>
      <c r="C14" s="8">
        <f>-$B$4/B14^2</f>
        <v/>
      </c>
      <c r="D14" s="8">
        <f>ABS(C14)</f>
        <v/>
      </c>
    </row>
    <row r="15">
      <c r="A15" s="17">
        <f>Данные!A15</f>
        <v/>
      </c>
      <c r="B15" s="31">
        <f>Данные!C15</f>
        <v/>
      </c>
      <c r="C15" s="8">
        <f>-$B$4/B15^2</f>
        <v/>
      </c>
      <c r="D15" s="8">
        <f>ABS(C15)</f>
        <v/>
      </c>
    </row>
    <row r="16">
      <c r="A16" s="17">
        <f>Данные!A16</f>
        <v/>
      </c>
      <c r="B16" s="31">
        <f>Данные!C16</f>
        <v/>
      </c>
      <c r="C16" s="8">
        <f>-$B$4/B16^2</f>
        <v/>
      </c>
      <c r="D16" s="8">
        <f>ABS(C16)</f>
        <v/>
      </c>
    </row>
    <row r="17">
      <c r="A17" s="17">
        <f>Данные!A17</f>
        <v/>
      </c>
      <c r="B17" s="31">
        <f>Данные!C17</f>
        <v/>
      </c>
      <c r="C17" s="8">
        <f>-$B$4/B17^2</f>
        <v/>
      </c>
      <c r="D17" s="8">
        <f>ABS(C17)</f>
        <v/>
      </c>
    </row>
    <row r="18">
      <c r="A18" s="17">
        <f>Данные!A18</f>
        <v/>
      </c>
      <c r="B18" s="31">
        <f>Данные!C18</f>
        <v/>
      </c>
      <c r="C18" s="8">
        <f>-$B$4/B18^2</f>
        <v/>
      </c>
      <c r="D18" s="8">
        <f>ABS(C18)</f>
        <v/>
      </c>
    </row>
    <row r="19">
      <c r="A19" s="17">
        <f>Данные!A19</f>
        <v/>
      </c>
      <c r="B19" s="31">
        <f>Данные!C19</f>
        <v/>
      </c>
      <c r="C19" s="8">
        <f>-$B$4/B19^2</f>
        <v/>
      </c>
      <c r="D19" s="8">
        <f>ABS(C19)</f>
        <v/>
      </c>
    </row>
    <row r="20">
      <c r="A20" s="17">
        <f>Данные!A20</f>
        <v/>
      </c>
      <c r="B20" s="31">
        <f>Данные!C20</f>
        <v/>
      </c>
      <c r="C20" s="8">
        <f>-$B$4/B20^2</f>
        <v/>
      </c>
      <c r="D20" s="8">
        <f>ABS(C20)</f>
        <v/>
      </c>
    </row>
    <row r="21">
      <c r="A21" s="17">
        <f>Данные!A21</f>
        <v/>
      </c>
      <c r="B21" s="31">
        <f>Данные!C21</f>
        <v/>
      </c>
      <c r="C21" s="8">
        <f>-$B$4/B21^2</f>
        <v/>
      </c>
      <c r="D21" s="8">
        <f>ABS(C21)</f>
        <v/>
      </c>
    </row>
    <row r="22">
      <c r="A22" s="17">
        <f>Данные!A22</f>
        <v/>
      </c>
      <c r="B22" s="31">
        <f>Данные!C22</f>
        <v/>
      </c>
      <c r="C22" s="8">
        <f>-$B$4/B22^2</f>
        <v/>
      </c>
      <c r="D22" s="8">
        <f>ABS(C22)</f>
        <v/>
      </c>
    </row>
    <row r="23">
      <c r="A23" s="17">
        <f>Данные!A23</f>
        <v/>
      </c>
      <c r="B23" s="31">
        <f>Данные!C23</f>
        <v/>
      </c>
      <c r="C23" s="8">
        <f>-$B$4/B23^2</f>
        <v/>
      </c>
      <c r="D23" s="8">
        <f>ABS(C23)</f>
        <v/>
      </c>
    </row>
    <row r="24"/>
    <row r="25">
      <c r="A25" s="3" t="inlineStr"/>
      <c r="B25" s="3" t="inlineStr">
        <is>
          <t>|∂δw/∂u|</t>
        </is>
      </c>
      <c r="C25" s="3" t="inlineStr">
        <is>
          <t>год t</t>
        </is>
      </c>
      <c r="D25" s="3" t="inlineStr">
        <is>
          <t>u, %</t>
        </is>
      </c>
    </row>
    <row r="26">
      <c r="A26" s="20" t="inlineStr">
        <is>
          <t>Наибольшее влияние</t>
        </is>
      </c>
      <c r="B26" s="32">
        <f>MAX(D7:D23)</f>
        <v/>
      </c>
      <c r="C26" s="33">
        <f>INDEX(A7:A23,MATCH(B26,D7:D23,0))</f>
        <v/>
      </c>
      <c r="D26" s="34">
        <f>INDEX(B7:B23,MATCH(B26,D7:D23,0))</f>
        <v/>
      </c>
    </row>
    <row r="27">
      <c r="A27" s="20" t="inlineStr">
        <is>
          <t>Наименьшее влияние</t>
        </is>
      </c>
      <c r="B27" s="32">
        <f>MIN(D7:D23)</f>
        <v/>
      </c>
      <c r="C27" s="33">
        <f>INDEX(A7:A23,MATCH(B27,D7:D23,0))</f>
        <v/>
      </c>
      <c r="D27" s="34">
        <f>INDEX(B7:B23,MATCH(B27,D7:D23,0))</f>
        <v/>
      </c>
    </row>
    <row r="28"/>
    <row r="29">
      <c r="A29" s="2" t="inlineStr">
        <is>
          <t>Год t = 1 в выборку не входит: для него темп роста δw не определён.</t>
        </is>
      </c>
    </row>
    <row r="30">
      <c r="A30" s="2" t="inlineStr">
        <is>
          <t>Если минимум или максимум u встречается в нескольких годах, ПОИСКПОЗ покажет первый из них.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11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г) 95-процентные доверительные интервалы для β₁ и β₂</t>
        </is>
      </c>
    </row>
    <row r="2">
      <c r="A2" s="2" t="inlineStr">
        <is>
          <t>Границы: оценка ± t_кр·s(оценки), где t_кр — двусторонний квантиль распределения Стьюдента с n − 2 степенями свободы.</t>
        </is>
      </c>
    </row>
    <row r="3"/>
    <row r="4">
      <c r="A4" s="11" t="inlineStr">
        <is>
          <t>n − 2</t>
        </is>
      </c>
      <c r="B4" s="17">
        <f>'а) Оценки'!B47</f>
        <v/>
      </c>
    </row>
    <row r="5">
      <c r="A5" s="11" t="inlineStr">
        <is>
          <t>Уровень значимости</t>
        </is>
      </c>
      <c r="B5" s="35" t="n">
        <v>0.05</v>
      </c>
      <c r="C5" s="13" t="inlineStr">
        <is>
          <t>допущение: 5 %, можно поменять</t>
        </is>
      </c>
    </row>
    <row r="6">
      <c r="A6" s="11" t="inlineStr">
        <is>
          <t>t_кр</t>
        </is>
      </c>
      <c r="B6" s="22">
        <f>TINV(B5,B4)</f>
        <v/>
      </c>
      <c r="C6" s="13" t="inlineStr">
        <is>
          <t>=СТЬЮДРАСПОБР(уровень; n − 2)</t>
        </is>
      </c>
    </row>
    <row r="7"/>
    <row r="8">
      <c r="A8" s="3" t="inlineStr">
        <is>
          <t>Коэффициент</t>
        </is>
      </c>
      <c r="B8" s="3" t="inlineStr">
        <is>
          <t>Оценка</t>
        </is>
      </c>
      <c r="C8" s="3" t="inlineStr">
        <is>
          <t>s(оценки)</t>
        </is>
      </c>
      <c r="D8" s="3" t="inlineStr">
        <is>
          <t>t_кр·s</t>
        </is>
      </c>
      <c r="E8" s="3" t="inlineStr">
        <is>
          <t>Нижняя граница</t>
        </is>
      </c>
      <c r="F8" s="3" t="inlineStr">
        <is>
          <t>Верхняя граница</t>
        </is>
      </c>
      <c r="G8" s="3" t="inlineStr">
        <is>
          <t>Накрывает 0?</t>
        </is>
      </c>
    </row>
    <row r="9">
      <c r="A9" s="20" t="inlineStr">
        <is>
          <t>β₁ — свободный член</t>
        </is>
      </c>
      <c r="B9" s="27">
        <f>'а) Оценки'!B14</f>
        <v/>
      </c>
      <c r="C9" s="19">
        <f>'а) Оценки'!B50</f>
        <v/>
      </c>
      <c r="D9" s="25">
        <f>$B$6*C9</f>
        <v/>
      </c>
      <c r="E9" s="32">
        <f>B9-D9</f>
        <v/>
      </c>
      <c r="F9" s="32">
        <f>B9+D9</f>
        <v/>
      </c>
      <c r="G9" s="36">
        <f>IF(AND(E9&lt;=0,F9&gt;=0),"да","нет")</f>
        <v/>
      </c>
    </row>
    <row r="10">
      <c r="A10" s="20" t="inlineStr">
        <is>
          <t>β₂ — при 1/u</t>
        </is>
      </c>
      <c r="B10" s="27">
        <f>'а) Оценки'!B13</f>
        <v/>
      </c>
      <c r="C10" s="19">
        <f>'а) Оценки'!B49</f>
        <v/>
      </c>
      <c r="D10" s="25">
        <f>$B$6*C10</f>
        <v/>
      </c>
      <c r="E10" s="32">
        <f>B10-D10</f>
        <v/>
      </c>
      <c r="F10" s="32">
        <f>B10+D10</f>
        <v/>
      </c>
      <c r="G10" s="36">
        <f>IF(AND(E10&lt;=0,F10&gt;=0),"да","нет")</f>
        <v/>
      </c>
    </row>
    <row r="11"/>
    <row r="12">
      <c r="A12" s="30">
        <f>IF(G9="да","Интервал для β₁ накрывает ноль: свободный член незначим на выбранном уровне.","Интервал для β₁ не накрывает ноль: свободный член значим на выбранном уровне.")</f>
        <v/>
      </c>
    </row>
    <row r="13">
      <c r="A13" s="30">
        <f>IF(G10="да","Интервал для β₂ накрывает ноль: коэффициент при 1/u незначим на выбранном уровне.","Интервал для β₂ не накрывает ноль: коэффициент при 1/u значим на выбранном уровне.")</f>
        <v/>
      </c>
    </row>
    <row r="14">
      <c r="A14" s="2" t="inlineStr">
        <is>
          <t>Excel печатает эти же границы в отчёте «Анализ данных → Регрессия», в столбцах «Нижние 95%» и «Верхние 95%».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Задача 2.16. Сводка</t>
        </is>
      </c>
    </row>
    <row r="2"/>
    <row r="3">
      <c r="A3" s="3" t="inlineStr">
        <is>
          <t>Пункт</t>
        </is>
      </c>
      <c r="B3" s="3" t="inlineStr">
        <is>
          <t>Величина</t>
        </is>
      </c>
      <c r="C3" s="3" t="inlineStr">
        <is>
          <t>Значение</t>
        </is>
      </c>
      <c r="D3" s="3" t="inlineStr">
        <is>
          <t>P-значение</t>
        </is>
      </c>
      <c r="E3" s="3" t="inlineStr">
        <is>
          <t>Вывод</t>
        </is>
      </c>
    </row>
    <row r="4">
      <c r="A4" s="37" t="inlineStr">
        <is>
          <t>а)</t>
        </is>
      </c>
      <c r="B4" s="38" t="inlineStr">
        <is>
          <t>β̂₁ — свободный член</t>
        </is>
      </c>
      <c r="C4" s="39">
        <f>'а) Оценки'!B14</f>
        <v/>
      </c>
      <c r="D4" s="40">
        <f>'а) Оценки'!B54</f>
        <v/>
      </c>
      <c r="E4" s="41">
        <f>IF('а) Оценки'!B54&lt;0.05,"значим","незначим")</f>
        <v/>
      </c>
    </row>
    <row r="5">
      <c r="A5" s="37" t="inlineStr">
        <is>
          <t>а)</t>
        </is>
      </c>
      <c r="B5" s="38" t="inlineStr">
        <is>
          <t>β̂₂ — коэффициент при 1/u</t>
        </is>
      </c>
      <c r="C5" s="39">
        <f>'а) Оценки'!B13</f>
        <v/>
      </c>
      <c r="D5" s="40">
        <f>'а) Оценки'!B53</f>
        <v/>
      </c>
      <c r="E5" s="41">
        <f>IF('а) Оценки'!B53&lt;0.05,"значим","незначим")</f>
        <v/>
      </c>
    </row>
    <row r="6">
      <c r="A6" s="37" t="inlineStr">
        <is>
          <t>а)</t>
        </is>
      </c>
      <c r="B6" s="38" t="inlineStr">
        <is>
          <t>R²</t>
        </is>
      </c>
      <c r="C6" s="42">
        <f>'а) Оценки'!B41</f>
        <v/>
      </c>
      <c r="D6" s="21" t="n"/>
      <c r="E6" s="21" t="n"/>
    </row>
    <row r="7">
      <c r="A7" s="37" t="inlineStr">
        <is>
          <t>а)</t>
        </is>
      </c>
      <c r="B7" s="38" t="inlineStr">
        <is>
          <t>F</t>
        </is>
      </c>
      <c r="C7" s="43">
        <f>'а) Оценки'!B57</f>
        <v/>
      </c>
      <c r="D7" s="40">
        <f>'а) Оценки'!B58</f>
        <v/>
      </c>
      <c r="E7" s="41">
        <f>IF('а) Оценки'!B58&lt;0.05,"регрессия значима","регрессия незначима")</f>
        <v/>
      </c>
    </row>
    <row r="8">
      <c r="A8" s="37" t="inlineStr">
        <is>
          <t>б)</t>
        </is>
      </c>
      <c r="B8" s="38" t="inlineStr">
        <is>
          <t>u₀ — естественный уровень, %</t>
        </is>
      </c>
      <c r="C8" s="43">
        <f>'б) Естеств. уровень'!B6</f>
        <v/>
      </c>
      <c r="D8" s="21" t="n"/>
      <c r="E8" s="41">
        <f>'б) Естеств. уровень'!A12</f>
        <v/>
      </c>
    </row>
    <row r="9">
      <c r="A9" s="37" t="inlineStr">
        <is>
          <t>в)</t>
        </is>
      </c>
      <c r="B9" s="38" t="inlineStr">
        <is>
          <t>наибольшее |∂δw/∂u|</t>
        </is>
      </c>
      <c r="C9" s="43">
        <f>'в) Влияние u'!B26</f>
        <v/>
      </c>
      <c r="D9" s="21" t="n"/>
      <c r="E9" s="41">
        <f>"год t = "&amp;'в) Влияние u'!C26</f>
        <v/>
      </c>
    </row>
    <row r="10">
      <c r="A10" s="37" t="inlineStr">
        <is>
          <t>в)</t>
        </is>
      </c>
      <c r="B10" s="38" t="inlineStr">
        <is>
          <t>наименьшее |∂δw/∂u|</t>
        </is>
      </c>
      <c r="C10" s="43">
        <f>'в) Влияние u'!B27</f>
        <v/>
      </c>
      <c r="D10" s="21" t="n"/>
      <c r="E10" s="41">
        <f>"год t = "&amp;'в) Влияние u'!C27</f>
        <v/>
      </c>
    </row>
    <row r="11">
      <c r="A11" s="37" t="inlineStr">
        <is>
          <t>г)</t>
        </is>
      </c>
      <c r="B11" s="38" t="inlineStr">
        <is>
          <t>β₁: нижняя граница</t>
        </is>
      </c>
      <c r="C11" s="43">
        <f>'г) Интервалы'!E9</f>
        <v/>
      </c>
      <c r="D11" s="21" t="n"/>
      <c r="E11" s="21" t="n"/>
    </row>
    <row r="12">
      <c r="A12" s="37" t="inlineStr">
        <is>
          <t>г)</t>
        </is>
      </c>
      <c r="B12" s="38" t="inlineStr">
        <is>
          <t>β₁: верхняя граница</t>
        </is>
      </c>
      <c r="C12" s="43">
        <f>'г) Интервалы'!F9</f>
        <v/>
      </c>
      <c r="D12" s="21" t="n"/>
      <c r="E12" s="41">
        <f>'г) Интервалы'!A12</f>
        <v/>
      </c>
    </row>
    <row r="13">
      <c r="A13" s="37" t="inlineStr">
        <is>
          <t>г)</t>
        </is>
      </c>
      <c r="B13" s="38" t="inlineStr">
        <is>
          <t>β₂: нижняя граница</t>
        </is>
      </c>
      <c r="C13" s="43">
        <f>'г) Интервалы'!E10</f>
        <v/>
      </c>
      <c r="D13" s="21" t="n"/>
      <c r="E13" s="21" t="n"/>
    </row>
    <row r="14">
      <c r="A14" s="37" t="inlineStr">
        <is>
          <t>г)</t>
        </is>
      </c>
      <c r="B14" s="38" t="inlineStr">
        <is>
          <t>β₂: верхняя граница</t>
        </is>
      </c>
      <c r="C14" s="43">
        <f>'г) Интервалы'!F10</f>
        <v/>
      </c>
      <c r="D14" s="21" t="n"/>
      <c r="E14" s="41">
        <f>'г) Интервалы'!A13</f>
        <v/>
      </c>
    </row>
    <row r="15"/>
    <row r="16">
      <c r="A16" s="10" t="inlineStr">
        <is>
          <t>Что показать на семинаре</t>
        </is>
      </c>
    </row>
    <row r="17" ht="30" customHeight="1">
      <c r="A17" s="44" t="inlineStr">
        <is>
          <t>1. Модель линейна по параметрам: регрессор — 1/u, поэтому работают обычные формулы МНК.</t>
        </is>
      </c>
    </row>
    <row r="18" ht="30" customHeight="1">
      <c r="A18" s="44" t="inlineStr">
        <is>
          <t>2. Эффект безработицы нелинеен: ∂δw/∂u = −β̂₂/u², он сильнее при низкой безработице.</t>
        </is>
      </c>
    </row>
    <row r="19" ht="30" customHeight="1">
      <c r="A19" s="44">
        <f>"3. В регрессии "&amp;'а) Оценки'!B5&amp;" наблюдений: для первого года темп роста не определён, поэтому степеней свободы n − 2 = "&amp;'а) Оценки'!B47&amp;"."</f>
        <v/>
      </c>
    </row>
    <row r="20" ht="30" customHeight="1">
      <c r="A20" s="44" t="inlineStr">
        <is>
          <t>4. Значимость можно проверить тремя равносильными способами: по t-статистике, по P-значению и по тому, накрывает ли интервал ноль.</t>
        </is>
      </c>
    </row>
  </sheetData>
  <mergeCells count="4">
    <mergeCell ref="A17:E17"/>
    <mergeCell ref="A18:E18"/>
    <mergeCell ref="A20:E2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2026-09-17T15:09:30Z</dcterms:created>
  <dcterms:modified xmlns:dcterms="http://purl.org/dc/terms/" xmlns:xsi="http://www.w3.org/2001/XMLSchema-instance" xsi:type="dcterms:W3CDTF">2026-09-27T21:56:21Z</dcterms:modified>
</cp:coreProperties>
</file>