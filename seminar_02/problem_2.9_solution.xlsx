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а) с константой" sheetId="2" state="visible" r:id="rId2"/>
    <sheet xmlns:r="http://schemas.openxmlformats.org/officeDocument/2006/relationships" name="б) без константы" sheetId="3" state="visible" r:id="rId3"/>
    <sheet xmlns:r="http://schemas.openxmlformats.org/officeDocument/2006/relationships" name="в) и г) центрированные" sheetId="4" state="visible" r:id="rId4"/>
    <sheet xmlns:r="http://schemas.openxmlformats.org/officeDocument/2006/relationships" name="Ито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b val="1"/>
      <color rgb="00004F81"/>
      <sz val="14"/>
    </font>
    <font>
      <i val="1"/>
      <color rgb="00555555"/>
      <sz val="10"/>
    </font>
    <font>
      <b val="1"/>
    </font>
    <font>
      <name val="Consolas"/>
      <sz val="9"/>
    </font>
    <font>
      <b val="1"/>
      <color rgb="00004F81"/>
      <sz val="11"/>
    </font>
    <font>
      <name val="Arial"/>
      <b val="1"/>
      <color rgb="00004F81"/>
      <sz val="14"/>
    </font>
    <font>
      <name val="Arial"/>
      <i val="1"/>
      <color rgb="00555555"/>
      <sz val="10"/>
    </font>
    <font>
      <name val="Arial"/>
      <b val="1"/>
    </font>
    <font>
      <name val="Arial"/>
      <family val="2"/>
      <color theme="1"/>
      <sz val="11"/>
      <scheme val="minor"/>
    </font>
    <font>
      <name val="Arial"/>
      <sz val="9"/>
    </font>
    <font>
      <name val="Arial"/>
      <b val="1"/>
      <color rgb="00004F81"/>
      <sz val="11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DF0DD"/>
      </patternFill>
    </fill>
    <fill>
      <patternFill patternType="solid">
        <fgColor rgb="00FBD5D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wrapText="1"/>
    </xf>
    <xf numFmtId="0" fontId="9" fillId="0" borderId="1" pivotButton="0" quotePrefix="0" xfId="0"/>
    <xf numFmtId="2" fontId="9" fillId="0" borderId="1" pivotButton="0" quotePrefix="0" xfId="0"/>
    <xf numFmtId="0" fontId="8" fillId="0" borderId="1" pivotButton="0" quotePrefix="0" xfId="0"/>
    <xf numFmtId="0" fontId="10" fillId="0" borderId="1" pivotButton="0" quotePrefix="0" xfId="0"/>
    <xf numFmtId="2" fontId="0" fillId="0" borderId="1" pivotButton="0" quotePrefix="0" xfId="0"/>
    <xf numFmtId="0" fontId="11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164" fontId="9" fillId="3" borderId="1" pivotButton="0" quotePrefix="0" xfId="0"/>
    <xf numFmtId="2" fontId="9" fillId="3" borderId="1" pivotButton="0" quotePrefix="0" xfId="0"/>
    <xf numFmtId="2" fontId="9" fillId="4" borderId="1" pivotButton="0" quotePrefix="0" xfId="0"/>
    <xf numFmtId="2" fontId="9" fillId="5" borderId="1" pivotButton="0" quotePrefix="0" xfId="0"/>
    <xf numFmtId="164" fontId="9" fillId="5" borderId="1" pivotButton="0" quotePrefix="0" xfId="0"/>
    <xf numFmtId="164" fontId="9" fillId="4" borderId="1" pivotButton="0" quotePrefix="0" xfId="0"/>
    <xf numFmtId="0" fontId="7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3" customWidth="1" min="6" max="6"/>
    <col width="28" customWidth="1" min="7" max="7"/>
    <col width="13" customWidth="1" min="8" max="8"/>
    <col width="30" customWidth="1" min="9" max="9"/>
  </cols>
  <sheetData>
    <row r="1">
      <c r="A1" s="1" t="inlineStr">
        <is>
          <t>Задача 2.9. Данные и подготовительные суммы</t>
        </is>
      </c>
    </row>
    <row r="2">
      <c r="A2" s="2" t="inlineStr">
        <is>
          <t>Вся книга считается формулами: измените Y или X — пересчитаются все четыре пункта.</t>
        </is>
      </c>
    </row>
    <row r="3"/>
    <row r="4">
      <c r="A4" s="3" t="inlineStr">
        <is>
          <t>t</t>
        </is>
      </c>
      <c r="B4" s="3" t="inlineStr">
        <is>
          <t>Y</t>
        </is>
      </c>
      <c r="C4" s="3" t="inlineStr">
        <is>
          <t>X</t>
        </is>
      </c>
      <c r="D4" s="3" t="inlineStr">
        <is>
          <t>x = X − X̄</t>
        </is>
      </c>
      <c r="E4" s="3" t="inlineStr">
        <is>
          <t>y = Y − Ȳ</t>
        </is>
      </c>
      <c r="G4" s="3" t="inlineStr">
        <is>
          <t>Величина</t>
        </is>
      </c>
      <c r="H4" s="3" t="inlineStr">
        <is>
          <t>Значение</t>
        </is>
      </c>
      <c r="I4" s="3" t="inlineStr">
        <is>
          <t>Как считается в Excel</t>
        </is>
      </c>
    </row>
    <row r="5">
      <c r="A5" s="4" t="n">
        <v>1</v>
      </c>
      <c r="B5" s="5" t="n">
        <v>70</v>
      </c>
      <c r="C5" s="5" t="n">
        <v>5</v>
      </c>
      <c r="D5" s="5">
        <f>C5-$C$16</f>
        <v/>
      </c>
      <c r="E5" s="5">
        <f>B5-$B$16</f>
        <v/>
      </c>
      <c r="G5" s="6" t="inlineStr">
        <is>
          <t>n</t>
        </is>
      </c>
      <c r="H5" s="5">
        <f>COUNT(B5:B14)</f>
        <v/>
      </c>
      <c r="I5" s="7">
        <f>СЧЁТ(B5:B14)</f>
        <v/>
      </c>
    </row>
    <row r="6">
      <c r="A6" s="4" t="n">
        <v>2</v>
      </c>
      <c r="B6" s="5" t="n">
        <v>65</v>
      </c>
      <c r="C6" s="5" t="n">
        <v>11</v>
      </c>
      <c r="D6" s="5">
        <f>C6-$C$16</f>
        <v/>
      </c>
      <c r="E6" s="5">
        <f>B6-$B$16</f>
        <v/>
      </c>
      <c r="G6" s="6" t="inlineStr">
        <is>
          <t>ΣX</t>
        </is>
      </c>
      <c r="H6" s="5">
        <f>SUM(C5:C14)</f>
        <v/>
      </c>
      <c r="I6" s="7">
        <f>СУММ(C5:C14)</f>
        <v/>
      </c>
    </row>
    <row r="7">
      <c r="A7" s="4" t="n">
        <v>3</v>
      </c>
      <c r="B7" s="5" t="n">
        <v>55</v>
      </c>
      <c r="C7" s="5" t="n">
        <v>15</v>
      </c>
      <c r="D7" s="5">
        <f>C7-$C$16</f>
        <v/>
      </c>
      <c r="E7" s="5">
        <f>B7-$B$16</f>
        <v/>
      </c>
      <c r="G7" s="6" t="inlineStr">
        <is>
          <t>ΣY</t>
        </is>
      </c>
      <c r="H7" s="5">
        <f>SUM(B5:B14)</f>
        <v/>
      </c>
      <c r="I7" s="7">
        <f>СУММ(B5:B14)</f>
        <v/>
      </c>
    </row>
    <row r="8">
      <c r="A8" s="4" t="n">
        <v>4</v>
      </c>
      <c r="B8" s="5" t="n">
        <v>60</v>
      </c>
      <c r="C8" s="5" t="n">
        <v>17</v>
      </c>
      <c r="D8" s="5">
        <f>C8-$C$16</f>
        <v/>
      </c>
      <c r="E8" s="5">
        <f>B8-$B$16</f>
        <v/>
      </c>
      <c r="G8" s="6" t="inlineStr">
        <is>
          <t>ΣX²</t>
        </is>
      </c>
      <c r="H8" s="5">
        <f>SUMSQ(C5:C14)</f>
        <v/>
      </c>
      <c r="I8" s="7">
        <f>СУММКВ(C5:C14)</f>
        <v/>
      </c>
    </row>
    <row r="9">
      <c r="A9" s="4" t="n">
        <v>5</v>
      </c>
      <c r="B9" s="5" t="n">
        <v>50</v>
      </c>
      <c r="C9" s="5" t="n">
        <v>20</v>
      </c>
      <c r="D9" s="5">
        <f>C9-$C$16</f>
        <v/>
      </c>
      <c r="E9" s="5">
        <f>B9-$B$16</f>
        <v/>
      </c>
      <c r="G9" s="6" t="inlineStr">
        <is>
          <t>ΣY²</t>
        </is>
      </c>
      <c r="H9" s="5">
        <f>SUMSQ(B5:B14)</f>
        <v/>
      </c>
      <c r="I9" s="7">
        <f>СУММКВ(B5:B14)</f>
        <v/>
      </c>
    </row>
    <row r="10">
      <c r="A10" s="4" t="n">
        <v>6</v>
      </c>
      <c r="B10" s="5" t="n">
        <v>35</v>
      </c>
      <c r="C10" s="5" t="n">
        <v>22</v>
      </c>
      <c r="D10" s="5">
        <f>C10-$C$16</f>
        <v/>
      </c>
      <c r="E10" s="5">
        <f>B10-$B$16</f>
        <v/>
      </c>
      <c r="G10" s="6" t="inlineStr">
        <is>
          <t>ΣXY</t>
        </is>
      </c>
      <c r="H10" s="5">
        <f>SUMPRODUCT(B5:B14,C5:C14)</f>
        <v/>
      </c>
      <c r="I10" s="7">
        <f>СУММПРОИЗВ(B5:B14;C5:C14)</f>
        <v/>
      </c>
    </row>
    <row r="11">
      <c r="A11" s="4" t="n">
        <v>7</v>
      </c>
      <c r="B11" s="5" t="n">
        <v>40</v>
      </c>
      <c r="C11" s="5" t="n">
        <v>25</v>
      </c>
      <c r="D11" s="5">
        <f>C11-$C$16</f>
        <v/>
      </c>
      <c r="E11" s="5">
        <f>B11-$B$16</f>
        <v/>
      </c>
      <c r="G11" s="6" t="inlineStr">
        <is>
          <t>X̄</t>
        </is>
      </c>
      <c r="H11" s="5">
        <f>AVERAGE(C5:C14)</f>
        <v/>
      </c>
      <c r="I11" s="7">
        <f>СРЗНАЧ(C5:C14)</f>
        <v/>
      </c>
    </row>
    <row r="12">
      <c r="A12" s="4" t="n">
        <v>8</v>
      </c>
      <c r="B12" s="5" t="n">
        <v>30</v>
      </c>
      <c r="C12" s="5" t="n">
        <v>27</v>
      </c>
      <c r="D12" s="5">
        <f>C12-$C$16</f>
        <v/>
      </c>
      <c r="E12" s="5">
        <f>B12-$B$16</f>
        <v/>
      </c>
      <c r="G12" s="6" t="inlineStr">
        <is>
          <t>Ȳ</t>
        </is>
      </c>
      <c r="H12" s="5">
        <f>AVERAGE(B5:B14)</f>
        <v/>
      </c>
      <c r="I12" s="7">
        <f>СРЗНАЧ(B5:B14)</f>
        <v/>
      </c>
    </row>
    <row r="13">
      <c r="A13" s="4" t="n">
        <v>9</v>
      </c>
      <c r="B13" s="5" t="n">
        <v>25</v>
      </c>
      <c r="C13" s="5" t="n">
        <v>30</v>
      </c>
      <c r="D13" s="5">
        <f>C13-$C$16</f>
        <v/>
      </c>
      <c r="E13" s="5">
        <f>B13-$B$16</f>
        <v/>
      </c>
      <c r="G13" s="6" t="inlineStr">
        <is>
          <t>Σx²</t>
        </is>
      </c>
      <c r="H13" s="5">
        <f>SUMSQ(D5:D14)</f>
        <v/>
      </c>
      <c r="I13" s="7">
        <f>СУММКВ(D5:D14)</f>
        <v/>
      </c>
    </row>
    <row r="14">
      <c r="A14" s="4" t="n">
        <v>10</v>
      </c>
      <c r="B14" s="5" t="n">
        <v>32</v>
      </c>
      <c r="C14" s="5" t="n">
        <v>35</v>
      </c>
      <c r="D14" s="5">
        <f>C14-$C$16</f>
        <v/>
      </c>
      <c r="E14" s="5">
        <f>B14-$B$16</f>
        <v/>
      </c>
      <c r="G14" s="6" t="inlineStr">
        <is>
          <t>Σxy</t>
        </is>
      </c>
      <c r="H14" s="5">
        <f>SUMPRODUCT(D5:D14,E5:E14)</f>
        <v/>
      </c>
      <c r="I14" s="7">
        <f>СУММПРОИЗВ(D5:D14;E5:E14)</f>
        <v/>
      </c>
    </row>
    <row r="15">
      <c r="A15" s="6" t="inlineStr">
        <is>
          <t>Сумма</t>
        </is>
      </c>
      <c r="B15" s="5">
        <f>SUM(B5:B14)</f>
        <v/>
      </c>
      <c r="C15" s="5">
        <f>SUM(C5:C14)</f>
        <v/>
      </c>
      <c r="D15" s="5">
        <f>SUM(D5:D14)</f>
        <v/>
      </c>
      <c r="E15" s="5">
        <f>SUM(E5:E14)</f>
        <v/>
      </c>
      <c r="G15" s="6" t="inlineStr">
        <is>
          <t>Σy²</t>
        </is>
      </c>
      <c r="H15" s="5">
        <f>SUMSQ(E5:E14)</f>
        <v/>
      </c>
      <c r="I15" s="7">
        <f>СУММКВ(E5:E14)</f>
        <v/>
      </c>
    </row>
    <row r="16">
      <c r="A16" s="6" t="inlineStr">
        <is>
          <t>Среднее</t>
        </is>
      </c>
      <c r="B16" s="5">
        <f>AVERAGE(B5:B14)</f>
        <v/>
      </c>
      <c r="C16" s="5">
        <f>AVERAGE(C5:C14)</f>
        <v/>
      </c>
      <c r="D16" s="8" t="n"/>
      <c r="E16" s="8" t="n"/>
    </row>
    <row r="17">
      <c r="G17" s="9" t="inlineStr">
        <is>
          <t>Проверка: суммы в отклонениях через исходные суммы</t>
        </is>
      </c>
    </row>
    <row r="18">
      <c r="G18" s="6" t="inlineStr">
        <is>
          <t>ΣX² − (ΣX)²/n</t>
        </is>
      </c>
      <c r="H18" s="5">
        <f>H8-H6^2/H5</f>
        <v/>
      </c>
      <c r="I18" s="10" t="inlineStr">
        <is>
          <t>должно совпасть с Σx² = 738,10</t>
        </is>
      </c>
    </row>
    <row r="19">
      <c r="G19" s="6" t="inlineStr">
        <is>
          <t>ΣXY − ΣX·ΣY/n</t>
        </is>
      </c>
      <c r="H19" s="5">
        <f>H10-H6*H7/H5</f>
        <v/>
      </c>
      <c r="I19" s="10" t="inlineStr">
        <is>
          <t>должно совпасть с Σxy = −1203,40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36" customWidth="1" min="3" max="3"/>
    <col width="14" customWidth="1" min="4" max="4"/>
    <col width="12" customWidth="1" min="5" max="5"/>
    <col width="13" customWidth="1" min="6" max="6"/>
    <col width="11" customWidth="1" min="7" max="7"/>
    <col width="13" customWidth="1" min="8" max="8"/>
  </cols>
  <sheetData>
    <row r="1">
      <c r="A1" s="1" t="inlineStr">
        <is>
          <t>а) Регрессия Y на X со свободным членом</t>
        </is>
      </c>
    </row>
    <row r="2">
      <c r="A2" s="2" t="inlineStr">
        <is>
          <t>Оценки МНК: β̂ = Σxy/Σx², α̂ = Ȳ − β̂·X̄</t>
        </is>
      </c>
    </row>
    <row r="3"/>
    <row r="4">
      <c r="A4" s="11" t="inlineStr">
        <is>
          <t>β̂</t>
        </is>
      </c>
      <c r="B4" s="12">
        <f>Данные!H14/Данные!H13</f>
        <v/>
      </c>
    </row>
    <row r="5">
      <c r="A5" s="11" t="inlineStr">
        <is>
          <t>α̂</t>
        </is>
      </c>
      <c r="B5" s="12">
        <f>Данные!H12-B4*Данные!H11</f>
        <v/>
      </c>
    </row>
    <row r="6"/>
    <row r="7">
      <c r="A7" s="3" t="inlineStr">
        <is>
          <t>t</t>
        </is>
      </c>
      <c r="B7" s="3" t="inlineStr">
        <is>
          <t>Y</t>
        </is>
      </c>
      <c r="C7" s="3" t="inlineStr">
        <is>
          <t>X</t>
        </is>
      </c>
      <c r="D7" s="3" t="inlineStr">
        <is>
          <t>Ŷ = α̂ + β̂·X</t>
        </is>
      </c>
      <c r="E7" s="3" t="inlineStr">
        <is>
          <t>e = Y − Ŷ</t>
        </is>
      </c>
      <c r="F7" s="3" t="inlineStr">
        <is>
          <t>(Ŷ − Ȳ)²</t>
        </is>
      </c>
      <c r="G7" s="3" t="inlineStr">
        <is>
          <t>e²</t>
        </is>
      </c>
      <c r="H7" s="3" t="inlineStr">
        <is>
          <t>(Y − Ȳ)²</t>
        </is>
      </c>
    </row>
    <row r="8">
      <c r="A8" s="4" t="n">
        <v>1</v>
      </c>
      <c r="B8" s="5">
        <f>Данные!B5</f>
        <v/>
      </c>
      <c r="C8" s="5">
        <f>Данные!C5</f>
        <v/>
      </c>
      <c r="D8" s="5">
        <f>$B$5+$B$4*C8</f>
        <v/>
      </c>
      <c r="E8" s="5">
        <f>B8-D8</f>
        <v/>
      </c>
      <c r="F8" s="5">
        <f>(D8-Данные!$H$12)^2</f>
        <v/>
      </c>
      <c r="G8" s="5">
        <f>E8^2</f>
        <v/>
      </c>
      <c r="H8" s="5">
        <f>(B8-Данные!$H$12)^2</f>
        <v/>
      </c>
    </row>
    <row r="9">
      <c r="A9" s="4" t="n">
        <v>2</v>
      </c>
      <c r="B9" s="5">
        <f>Данные!B6</f>
        <v/>
      </c>
      <c r="C9" s="5">
        <f>Данные!C6</f>
        <v/>
      </c>
      <c r="D9" s="5">
        <f>$B$5+$B$4*C9</f>
        <v/>
      </c>
      <c r="E9" s="5">
        <f>B9-D9</f>
        <v/>
      </c>
      <c r="F9" s="5">
        <f>(D9-Данные!$H$12)^2</f>
        <v/>
      </c>
      <c r="G9" s="5">
        <f>E9^2</f>
        <v/>
      </c>
      <c r="H9" s="5">
        <f>(B9-Данные!$H$12)^2</f>
        <v/>
      </c>
    </row>
    <row r="10">
      <c r="A10" s="4" t="n">
        <v>3</v>
      </c>
      <c r="B10" s="5">
        <f>Данные!B7</f>
        <v/>
      </c>
      <c r="C10" s="5">
        <f>Данные!C7</f>
        <v/>
      </c>
      <c r="D10" s="5">
        <f>$B$5+$B$4*C10</f>
        <v/>
      </c>
      <c r="E10" s="5">
        <f>B10-D10</f>
        <v/>
      </c>
      <c r="F10" s="5">
        <f>(D10-Данные!$H$12)^2</f>
        <v/>
      </c>
      <c r="G10" s="5">
        <f>E10^2</f>
        <v/>
      </c>
      <c r="H10" s="5">
        <f>(B10-Данные!$H$12)^2</f>
        <v/>
      </c>
    </row>
    <row r="11">
      <c r="A11" s="4" t="n">
        <v>4</v>
      </c>
      <c r="B11" s="5">
        <f>Данные!B8</f>
        <v/>
      </c>
      <c r="C11" s="5">
        <f>Данные!C8</f>
        <v/>
      </c>
      <c r="D11" s="5">
        <f>$B$5+$B$4*C11</f>
        <v/>
      </c>
      <c r="E11" s="5">
        <f>B11-D11</f>
        <v/>
      </c>
      <c r="F11" s="5">
        <f>(D11-Данные!$H$12)^2</f>
        <v/>
      </c>
      <c r="G11" s="5">
        <f>E11^2</f>
        <v/>
      </c>
      <c r="H11" s="5">
        <f>(B11-Данные!$H$12)^2</f>
        <v/>
      </c>
    </row>
    <row r="12">
      <c r="A12" s="4" t="n">
        <v>5</v>
      </c>
      <c r="B12" s="5">
        <f>Данные!B9</f>
        <v/>
      </c>
      <c r="C12" s="5">
        <f>Данные!C9</f>
        <v/>
      </c>
      <c r="D12" s="5">
        <f>$B$5+$B$4*C12</f>
        <v/>
      </c>
      <c r="E12" s="5">
        <f>B12-D12</f>
        <v/>
      </c>
      <c r="F12" s="5">
        <f>(D12-Данные!$H$12)^2</f>
        <v/>
      </c>
      <c r="G12" s="5">
        <f>E12^2</f>
        <v/>
      </c>
      <c r="H12" s="5">
        <f>(B12-Данные!$H$12)^2</f>
        <v/>
      </c>
    </row>
    <row r="13">
      <c r="A13" s="4" t="n">
        <v>6</v>
      </c>
      <c r="B13" s="5">
        <f>Данные!B10</f>
        <v/>
      </c>
      <c r="C13" s="5">
        <f>Данные!C10</f>
        <v/>
      </c>
      <c r="D13" s="5">
        <f>$B$5+$B$4*C13</f>
        <v/>
      </c>
      <c r="E13" s="5">
        <f>B13-D13</f>
        <v/>
      </c>
      <c r="F13" s="5">
        <f>(D13-Данные!$H$12)^2</f>
        <v/>
      </c>
      <c r="G13" s="5">
        <f>E13^2</f>
        <v/>
      </c>
      <c r="H13" s="5">
        <f>(B13-Данные!$H$12)^2</f>
        <v/>
      </c>
    </row>
    <row r="14">
      <c r="A14" s="4" t="n">
        <v>7</v>
      </c>
      <c r="B14" s="5">
        <f>Данные!B11</f>
        <v/>
      </c>
      <c r="C14" s="5">
        <f>Данные!C11</f>
        <v/>
      </c>
      <c r="D14" s="5">
        <f>$B$5+$B$4*C14</f>
        <v/>
      </c>
      <c r="E14" s="5">
        <f>B14-D14</f>
        <v/>
      </c>
      <c r="F14" s="5">
        <f>(D14-Данные!$H$12)^2</f>
        <v/>
      </c>
      <c r="G14" s="5">
        <f>E14^2</f>
        <v/>
      </c>
      <c r="H14" s="5">
        <f>(B14-Данные!$H$12)^2</f>
        <v/>
      </c>
    </row>
    <row r="15">
      <c r="A15" s="4" t="n">
        <v>8</v>
      </c>
      <c r="B15" s="5">
        <f>Данные!B12</f>
        <v/>
      </c>
      <c r="C15" s="5">
        <f>Данные!C12</f>
        <v/>
      </c>
      <c r="D15" s="5">
        <f>$B$5+$B$4*C15</f>
        <v/>
      </c>
      <c r="E15" s="5">
        <f>B15-D15</f>
        <v/>
      </c>
      <c r="F15" s="5">
        <f>(D15-Данные!$H$12)^2</f>
        <v/>
      </c>
      <c r="G15" s="5">
        <f>E15^2</f>
        <v/>
      </c>
      <c r="H15" s="5">
        <f>(B15-Данные!$H$12)^2</f>
        <v/>
      </c>
    </row>
    <row r="16">
      <c r="A16" s="4" t="n">
        <v>9</v>
      </c>
      <c r="B16" s="5">
        <f>Данные!B13</f>
        <v/>
      </c>
      <c r="C16" s="5">
        <f>Данные!C13</f>
        <v/>
      </c>
      <c r="D16" s="5">
        <f>$B$5+$B$4*C16</f>
        <v/>
      </c>
      <c r="E16" s="5">
        <f>B16-D16</f>
        <v/>
      </c>
      <c r="F16" s="5">
        <f>(D16-Данные!$H$12)^2</f>
        <v/>
      </c>
      <c r="G16" s="5">
        <f>E16^2</f>
        <v/>
      </c>
      <c r="H16" s="5">
        <f>(B16-Данные!$H$12)^2</f>
        <v/>
      </c>
    </row>
    <row r="17">
      <c r="A17" s="4" t="n">
        <v>10</v>
      </c>
      <c r="B17" s="5">
        <f>Данные!B14</f>
        <v/>
      </c>
      <c r="C17" s="5">
        <f>Данные!C14</f>
        <v/>
      </c>
      <c r="D17" s="5">
        <f>$B$5+$B$4*C17</f>
        <v/>
      </c>
      <c r="E17" s="5">
        <f>B17-D17</f>
        <v/>
      </c>
      <c r="F17" s="5">
        <f>(D17-Данные!$H$12)^2</f>
        <v/>
      </c>
      <c r="G17" s="5">
        <f>E17^2</f>
        <v/>
      </c>
      <c r="H17" s="5">
        <f>(B17-Данные!$H$12)^2</f>
        <v/>
      </c>
    </row>
    <row r="18">
      <c r="A18" s="6" t="inlineStr">
        <is>
          <t>Сумма</t>
        </is>
      </c>
      <c r="B18" s="8" t="n"/>
      <c r="C18" s="8" t="n"/>
      <c r="D18" s="8" t="n"/>
      <c r="E18" s="5">
        <f>SUM(E8:E17)</f>
        <v/>
      </c>
      <c r="F18" s="5">
        <f>SUM(F8:F17)</f>
        <v/>
      </c>
      <c r="G18" s="5">
        <f>SUM(G8:G17)</f>
        <v/>
      </c>
      <c r="H18" s="5">
        <f>SUM(H8:H17)</f>
        <v/>
      </c>
    </row>
    <row r="19"/>
    <row r="20">
      <c r="A20" s="11" t="inlineStr">
        <is>
          <t>RSS = Σ(Ŷ − Ȳ)²</t>
        </is>
      </c>
      <c r="B20" s="13">
        <f>F18</f>
        <v/>
      </c>
    </row>
    <row r="21">
      <c r="A21" s="11" t="inlineStr">
        <is>
          <t>ESS = Σe²</t>
        </is>
      </c>
      <c r="B21" s="13">
        <f>G18</f>
        <v/>
      </c>
    </row>
    <row r="22">
      <c r="A22" s="11" t="inlineStr">
        <is>
          <t>TSS = Σ(Y − Ȳ)²</t>
        </is>
      </c>
      <c r="B22" s="13">
        <f>H18</f>
        <v/>
      </c>
    </row>
    <row r="23">
      <c r="A23" s="11" t="inlineStr">
        <is>
          <t>R² = RSS/TSS</t>
        </is>
      </c>
      <c r="B23" s="12">
        <f>B20/B22</f>
        <v/>
      </c>
    </row>
    <row r="24">
      <c r="A24" s="11" t="inlineStr">
        <is>
          <t>R² = 1 − ESS/TSS</t>
        </is>
      </c>
      <c r="B24" s="12">
        <f>1-B21/B22</f>
        <v/>
      </c>
      <c r="C24" s="2" t="inlineStr">
        <is>
          <t>оба способа дают одно число</t>
        </is>
      </c>
    </row>
    <row r="25">
      <c r="A25" s="11" t="inlineStr">
        <is>
          <t>Σe</t>
        </is>
      </c>
      <c r="B25" s="14">
        <f>E18</f>
        <v/>
      </c>
      <c r="C25" s="2" t="inlineStr">
        <is>
          <t>нормальное уравнение: должно быть 0</t>
        </is>
      </c>
    </row>
    <row r="26">
      <c r="A26" s="11" t="inlineStr">
        <is>
          <t>Проверка: RSS + ESS − TSS</t>
        </is>
      </c>
      <c r="B26" s="14">
        <f>B20+B21-B22</f>
        <v/>
      </c>
      <c r="C26" s="2" t="inlineStr">
        <is>
          <t>разложение TSS = RSS + ESS выполняется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б) Регрессия Y на X без свободного члена</t>
        </is>
      </c>
    </row>
    <row r="2">
      <c r="A2" s="2" t="inlineStr">
        <is>
          <t>Оценка без свободного члена: β̂ = ΣXY/ΣX². Константы нет — нет и уравнения Σe = 0</t>
        </is>
      </c>
    </row>
    <row r="3"/>
    <row r="4">
      <c r="A4" s="11" t="inlineStr">
        <is>
          <t>β̂</t>
        </is>
      </c>
      <c r="B4" s="12">
        <f>Данные!H10/Данные!H8</f>
        <v/>
      </c>
    </row>
    <row r="5"/>
    <row r="6">
      <c r="A6" s="3" t="inlineStr">
        <is>
          <t>t</t>
        </is>
      </c>
      <c r="B6" s="3" t="inlineStr">
        <is>
          <t>Y</t>
        </is>
      </c>
      <c r="C6" s="3" t="inlineStr">
        <is>
          <t>X</t>
        </is>
      </c>
      <c r="D6" s="3" t="inlineStr">
        <is>
          <t>Ŷ = β̂·X</t>
        </is>
      </c>
      <c r="E6" s="3" t="inlineStr">
        <is>
          <t>e = Y − Ŷ</t>
        </is>
      </c>
      <c r="F6" s="3" t="inlineStr">
        <is>
          <t>(Ŷ − Ȳ)²</t>
        </is>
      </c>
      <c r="G6" s="3" t="inlineStr">
        <is>
          <t>e²</t>
        </is>
      </c>
      <c r="H6" s="3" t="inlineStr">
        <is>
          <t>(Y − Ȳ)²</t>
        </is>
      </c>
      <c r="I6" s="3" t="inlineStr">
        <is>
          <t>Ŷ·e</t>
        </is>
      </c>
      <c r="J6" s="3" t="inlineStr">
        <is>
          <t>Ŷ²</t>
        </is>
      </c>
      <c r="K6" s="3" t="inlineStr">
        <is>
          <t>Y²</t>
        </is>
      </c>
    </row>
    <row r="7">
      <c r="A7" s="4" t="n">
        <v>1</v>
      </c>
      <c r="B7" s="5">
        <f>Данные!B5</f>
        <v/>
      </c>
      <c r="C7" s="5">
        <f>Данные!C5</f>
        <v/>
      </c>
      <c r="D7" s="5">
        <f>$B$4*C7</f>
        <v/>
      </c>
      <c r="E7" s="5">
        <f>B7-D7</f>
        <v/>
      </c>
      <c r="F7" s="5">
        <f>(D7-Данные!$H$12)^2</f>
        <v/>
      </c>
      <c r="G7" s="5">
        <f>E7^2</f>
        <v/>
      </c>
      <c r="H7" s="5">
        <f>(B7-Данные!$H$12)^2</f>
        <v/>
      </c>
      <c r="I7" s="5">
        <f>D7*E7</f>
        <v/>
      </c>
      <c r="J7" s="5">
        <f>D7^2</f>
        <v/>
      </c>
      <c r="K7" s="5">
        <f>B7^2</f>
        <v/>
      </c>
    </row>
    <row r="8">
      <c r="A8" s="4" t="n">
        <v>2</v>
      </c>
      <c r="B8" s="5">
        <f>Данные!B6</f>
        <v/>
      </c>
      <c r="C8" s="5">
        <f>Данные!C6</f>
        <v/>
      </c>
      <c r="D8" s="5">
        <f>$B$4*C8</f>
        <v/>
      </c>
      <c r="E8" s="5">
        <f>B8-D8</f>
        <v/>
      </c>
      <c r="F8" s="5">
        <f>(D8-Данные!$H$12)^2</f>
        <v/>
      </c>
      <c r="G8" s="5">
        <f>E8^2</f>
        <v/>
      </c>
      <c r="H8" s="5">
        <f>(B8-Данные!$H$12)^2</f>
        <v/>
      </c>
      <c r="I8" s="5">
        <f>D8*E8</f>
        <v/>
      </c>
      <c r="J8" s="5">
        <f>D8^2</f>
        <v/>
      </c>
      <c r="K8" s="5">
        <f>B8^2</f>
        <v/>
      </c>
    </row>
    <row r="9">
      <c r="A9" s="4" t="n">
        <v>3</v>
      </c>
      <c r="B9" s="5">
        <f>Данные!B7</f>
        <v/>
      </c>
      <c r="C9" s="5">
        <f>Данные!C7</f>
        <v/>
      </c>
      <c r="D9" s="5">
        <f>$B$4*C9</f>
        <v/>
      </c>
      <c r="E9" s="5">
        <f>B9-D9</f>
        <v/>
      </c>
      <c r="F9" s="5">
        <f>(D9-Данные!$H$12)^2</f>
        <v/>
      </c>
      <c r="G9" s="5">
        <f>E9^2</f>
        <v/>
      </c>
      <c r="H9" s="5">
        <f>(B9-Данные!$H$12)^2</f>
        <v/>
      </c>
      <c r="I9" s="5">
        <f>D9*E9</f>
        <v/>
      </c>
      <c r="J9" s="5">
        <f>D9^2</f>
        <v/>
      </c>
      <c r="K9" s="5">
        <f>B9^2</f>
        <v/>
      </c>
    </row>
    <row r="10">
      <c r="A10" s="4" t="n">
        <v>4</v>
      </c>
      <c r="B10" s="5">
        <f>Данные!B8</f>
        <v/>
      </c>
      <c r="C10" s="5">
        <f>Данные!C8</f>
        <v/>
      </c>
      <c r="D10" s="5">
        <f>$B$4*C10</f>
        <v/>
      </c>
      <c r="E10" s="5">
        <f>B10-D10</f>
        <v/>
      </c>
      <c r="F10" s="5">
        <f>(D10-Данные!$H$12)^2</f>
        <v/>
      </c>
      <c r="G10" s="5">
        <f>E10^2</f>
        <v/>
      </c>
      <c r="H10" s="5">
        <f>(B10-Данные!$H$12)^2</f>
        <v/>
      </c>
      <c r="I10" s="5">
        <f>D10*E10</f>
        <v/>
      </c>
      <c r="J10" s="5">
        <f>D10^2</f>
        <v/>
      </c>
      <c r="K10" s="5">
        <f>B10^2</f>
        <v/>
      </c>
    </row>
    <row r="11">
      <c r="A11" s="4" t="n">
        <v>5</v>
      </c>
      <c r="B11" s="5">
        <f>Данные!B9</f>
        <v/>
      </c>
      <c r="C11" s="5">
        <f>Данные!C9</f>
        <v/>
      </c>
      <c r="D11" s="5">
        <f>$B$4*C11</f>
        <v/>
      </c>
      <c r="E11" s="5">
        <f>B11-D11</f>
        <v/>
      </c>
      <c r="F11" s="5">
        <f>(D11-Данные!$H$12)^2</f>
        <v/>
      </c>
      <c r="G11" s="5">
        <f>E11^2</f>
        <v/>
      </c>
      <c r="H11" s="5">
        <f>(B11-Данные!$H$12)^2</f>
        <v/>
      </c>
      <c r="I11" s="5">
        <f>D11*E11</f>
        <v/>
      </c>
      <c r="J11" s="5">
        <f>D11^2</f>
        <v/>
      </c>
      <c r="K11" s="5">
        <f>B11^2</f>
        <v/>
      </c>
    </row>
    <row r="12">
      <c r="A12" s="4" t="n">
        <v>6</v>
      </c>
      <c r="B12" s="5">
        <f>Данные!B10</f>
        <v/>
      </c>
      <c r="C12" s="5">
        <f>Данные!C10</f>
        <v/>
      </c>
      <c r="D12" s="5">
        <f>$B$4*C12</f>
        <v/>
      </c>
      <c r="E12" s="5">
        <f>B12-D12</f>
        <v/>
      </c>
      <c r="F12" s="5">
        <f>(D12-Данные!$H$12)^2</f>
        <v/>
      </c>
      <c r="G12" s="5">
        <f>E12^2</f>
        <v/>
      </c>
      <c r="H12" s="5">
        <f>(B12-Данные!$H$12)^2</f>
        <v/>
      </c>
      <c r="I12" s="5">
        <f>D12*E12</f>
        <v/>
      </c>
      <c r="J12" s="5">
        <f>D12^2</f>
        <v/>
      </c>
      <c r="K12" s="5">
        <f>B12^2</f>
        <v/>
      </c>
    </row>
    <row r="13">
      <c r="A13" s="4" t="n">
        <v>7</v>
      </c>
      <c r="B13" s="5">
        <f>Данные!B11</f>
        <v/>
      </c>
      <c r="C13" s="5">
        <f>Данные!C11</f>
        <v/>
      </c>
      <c r="D13" s="5">
        <f>$B$4*C13</f>
        <v/>
      </c>
      <c r="E13" s="5">
        <f>B13-D13</f>
        <v/>
      </c>
      <c r="F13" s="5">
        <f>(D13-Данные!$H$12)^2</f>
        <v/>
      </c>
      <c r="G13" s="5">
        <f>E13^2</f>
        <v/>
      </c>
      <c r="H13" s="5">
        <f>(B13-Данные!$H$12)^2</f>
        <v/>
      </c>
      <c r="I13" s="5">
        <f>D13*E13</f>
        <v/>
      </c>
      <c r="J13" s="5">
        <f>D13^2</f>
        <v/>
      </c>
      <c r="K13" s="5">
        <f>B13^2</f>
        <v/>
      </c>
    </row>
    <row r="14">
      <c r="A14" s="4" t="n">
        <v>8</v>
      </c>
      <c r="B14" s="5">
        <f>Данные!B12</f>
        <v/>
      </c>
      <c r="C14" s="5">
        <f>Данные!C12</f>
        <v/>
      </c>
      <c r="D14" s="5">
        <f>$B$4*C14</f>
        <v/>
      </c>
      <c r="E14" s="5">
        <f>B14-D14</f>
        <v/>
      </c>
      <c r="F14" s="5">
        <f>(D14-Данные!$H$12)^2</f>
        <v/>
      </c>
      <c r="G14" s="5">
        <f>E14^2</f>
        <v/>
      </c>
      <c r="H14" s="5">
        <f>(B14-Данные!$H$12)^2</f>
        <v/>
      </c>
      <c r="I14" s="5">
        <f>D14*E14</f>
        <v/>
      </c>
      <c r="J14" s="5">
        <f>D14^2</f>
        <v/>
      </c>
      <c r="K14" s="5">
        <f>B14^2</f>
        <v/>
      </c>
    </row>
    <row r="15">
      <c r="A15" s="4" t="n">
        <v>9</v>
      </c>
      <c r="B15" s="5">
        <f>Данные!B13</f>
        <v/>
      </c>
      <c r="C15" s="5">
        <f>Данные!C13</f>
        <v/>
      </c>
      <c r="D15" s="5">
        <f>$B$4*C15</f>
        <v/>
      </c>
      <c r="E15" s="5">
        <f>B15-D15</f>
        <v/>
      </c>
      <c r="F15" s="5">
        <f>(D15-Данные!$H$12)^2</f>
        <v/>
      </c>
      <c r="G15" s="5">
        <f>E15^2</f>
        <v/>
      </c>
      <c r="H15" s="5">
        <f>(B15-Данные!$H$12)^2</f>
        <v/>
      </c>
      <c r="I15" s="5">
        <f>D15*E15</f>
        <v/>
      </c>
      <c r="J15" s="5">
        <f>D15^2</f>
        <v/>
      </c>
      <c r="K15" s="5">
        <f>B15^2</f>
        <v/>
      </c>
    </row>
    <row r="16">
      <c r="A16" s="4" t="n">
        <v>10</v>
      </c>
      <c r="B16" s="5">
        <f>Данные!B14</f>
        <v/>
      </c>
      <c r="C16" s="5">
        <f>Данные!C14</f>
        <v/>
      </c>
      <c r="D16" s="5">
        <f>$B$4*C16</f>
        <v/>
      </c>
      <c r="E16" s="5">
        <f>B16-D16</f>
        <v/>
      </c>
      <c r="F16" s="5">
        <f>(D16-Данные!$H$12)^2</f>
        <v/>
      </c>
      <c r="G16" s="5">
        <f>E16^2</f>
        <v/>
      </c>
      <c r="H16" s="5">
        <f>(B16-Данные!$H$12)^2</f>
        <v/>
      </c>
      <c r="I16" s="5">
        <f>D16*E16</f>
        <v/>
      </c>
      <c r="J16" s="5">
        <f>D16^2</f>
        <v/>
      </c>
      <c r="K16" s="5">
        <f>B16^2</f>
        <v/>
      </c>
    </row>
    <row r="17">
      <c r="A17" s="6" t="inlineStr">
        <is>
          <t>Сумма</t>
        </is>
      </c>
      <c r="B17" s="8" t="n"/>
      <c r="C17" s="8" t="n"/>
      <c r="D17" s="8" t="n"/>
      <c r="E17" s="5">
        <f>SUM(E7:E16)</f>
        <v/>
      </c>
      <c r="F17" s="5">
        <f>SUM(F7:F16)</f>
        <v/>
      </c>
      <c r="G17" s="5">
        <f>SUM(G7:G16)</f>
        <v/>
      </c>
      <c r="H17" s="5">
        <f>SUM(H7:H16)</f>
        <v/>
      </c>
      <c r="I17" s="5">
        <f>SUM(I7:I16)</f>
        <v/>
      </c>
      <c r="J17" s="5">
        <f>SUM(J7:J16)</f>
        <v/>
      </c>
      <c r="K17" s="5">
        <f>SUM(K7:K16)</f>
        <v/>
      </c>
    </row>
    <row r="18"/>
    <row r="19">
      <c r="A19" s="11" t="inlineStr">
        <is>
          <t>Σe</t>
        </is>
      </c>
      <c r="B19" s="15">
        <f>E17</f>
        <v/>
      </c>
      <c r="C19" s="2" t="inlineStr">
        <is>
          <t>НЕ равно нулю — источник всех дальнейших бед</t>
        </is>
      </c>
    </row>
    <row r="20">
      <c r="A20" s="11" t="inlineStr">
        <is>
          <t>RSS = Σ(Ŷ − Ȳ)²</t>
        </is>
      </c>
      <c r="B20" s="13">
        <f>F17</f>
        <v/>
      </c>
    </row>
    <row r="21">
      <c r="A21" s="11" t="inlineStr">
        <is>
          <t>ESS = Σe²</t>
        </is>
      </c>
      <c r="B21" s="13">
        <f>G17</f>
        <v/>
      </c>
    </row>
    <row r="22">
      <c r="A22" s="11" t="inlineStr">
        <is>
          <t>TSS = Σ(Y − Ȳ)²</t>
        </is>
      </c>
      <c r="B22" s="13">
        <f>H17</f>
        <v/>
      </c>
    </row>
    <row r="23">
      <c r="A23" s="11" t="inlineStr">
        <is>
          <t>RSS + ESS</t>
        </is>
      </c>
      <c r="B23" s="15">
        <f>B20+B21</f>
        <v/>
      </c>
      <c r="C23" s="2" t="inlineStr">
        <is>
          <t>TSS не получается</t>
        </is>
      </c>
    </row>
    <row r="24">
      <c r="A24" s="11" t="inlineStr">
        <is>
          <t>Проверка: RSS + ESS − 2·Ȳ·Σe</t>
        </is>
      </c>
      <c r="B24" s="14">
        <f>B20+B21-2*Данные!H12*B19</f>
        <v/>
      </c>
      <c r="C24" s="2" t="inlineStr">
        <is>
          <t>а так — в точности TSS</t>
        </is>
      </c>
    </row>
    <row r="25"/>
    <row r="26">
      <c r="A26" s="9" t="inlineStr">
        <is>
          <t>Два «коэффициента детерминации»</t>
        </is>
      </c>
    </row>
    <row r="27">
      <c r="A27" s="11" t="inlineStr">
        <is>
          <t>R² = RSS/TSS</t>
        </is>
      </c>
      <c r="B27" s="16">
        <f>B20/B22</f>
        <v/>
      </c>
      <c r="C27" s="2" t="inlineStr">
        <is>
          <t>больше 1</t>
        </is>
      </c>
    </row>
    <row r="28">
      <c r="A28" s="11" t="inlineStr">
        <is>
          <t>R² = 1 − ESS/TSS</t>
        </is>
      </c>
      <c r="B28" s="16">
        <f>1-B21/B22</f>
        <v/>
      </c>
      <c r="C28" s="2" t="inlineStr">
        <is>
          <t>меньше 0</t>
        </is>
      </c>
    </row>
    <row r="29"/>
    <row r="30">
      <c r="A30" s="9" t="inlineStr">
        <is>
          <t>Что покажет Excel с флажком «Константа — ноль»</t>
        </is>
      </c>
    </row>
    <row r="31">
      <c r="A31" s="11" t="inlineStr">
        <is>
          <t>R²ᵤ = 1 − ESS/ΣY²</t>
        </is>
      </c>
      <c r="B31" s="17">
        <f>1-B21/K17</f>
        <v/>
      </c>
      <c r="C31" s="2" t="inlineStr">
        <is>
          <t>нецентрированный R², всегда в [0;1]</t>
        </is>
      </c>
    </row>
    <row r="32">
      <c r="A32" s="11" t="inlineStr">
        <is>
          <t>R²ᵤ = ΣŶ²/ΣY²</t>
        </is>
      </c>
      <c r="B32" s="17">
        <f>J17/K17</f>
        <v/>
      </c>
      <c r="C32" s="2" t="inlineStr">
        <is>
          <t>то же самое другим способом</t>
        </is>
      </c>
    </row>
    <row r="33">
      <c r="A33" s="11" t="inlineStr">
        <is>
          <t>Проверка: ΣŶ·e</t>
        </is>
      </c>
      <c r="B33" s="14">
        <f>I17</f>
        <v/>
      </c>
      <c r="C33" s="2" t="inlineStr">
        <is>
          <t>равно 0, отсюда ΣY² = ΣŶ² + Σe²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38" customWidth="1" min="3" max="3"/>
    <col width="14" customWidth="1" min="4" max="4"/>
    <col width="12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в), г) Регрессия y на x, где x и y — отклонения от средних</t>
        </is>
      </c>
    </row>
    <row r="2">
      <c r="A2" s="2" t="inlineStr">
        <is>
          <t>Свободный член оценивается точно нулём, поэтому пункты в) и г) совпадают</t>
        </is>
      </c>
    </row>
    <row r="3"/>
    <row r="4">
      <c r="A4" s="11" t="inlineStr">
        <is>
          <t>β̂ = Σxy/Σx²</t>
        </is>
      </c>
      <c r="B4" s="12">
        <f>Данные!H14/Данные!H13</f>
        <v/>
      </c>
    </row>
    <row r="5">
      <c r="A5" s="11" t="inlineStr">
        <is>
          <t>α̂ = ȳ − β̂·x̄</t>
        </is>
      </c>
      <c r="B5" s="17">
        <f>AVERAGE(Данные!E5:E14)-B4*AVERAGE(Данные!D5:D14)</f>
        <v/>
      </c>
      <c r="C5" s="2" t="inlineStr">
        <is>
          <t>ровно 0: обе средние нулевые</t>
        </is>
      </c>
    </row>
    <row r="6"/>
    <row r="7">
      <c r="A7" s="3" t="inlineStr">
        <is>
          <t>t</t>
        </is>
      </c>
      <c r="B7" s="3" t="inlineStr">
        <is>
          <t>x</t>
        </is>
      </c>
      <c r="C7" s="3" t="inlineStr">
        <is>
          <t>y</t>
        </is>
      </c>
      <c r="D7" s="3" t="inlineStr">
        <is>
          <t>ŷ = α̂ + β̂·x</t>
        </is>
      </c>
      <c r="E7" s="3" t="inlineStr">
        <is>
          <t>e = y − ŷ</t>
        </is>
      </c>
      <c r="F7" s="3" t="inlineStr">
        <is>
          <t>ŷ²</t>
        </is>
      </c>
      <c r="G7" s="3" t="inlineStr">
        <is>
          <t>e²</t>
        </is>
      </c>
      <c r="H7" s="3" t="inlineStr">
        <is>
          <t>y²</t>
        </is>
      </c>
    </row>
    <row r="8">
      <c r="A8" s="4" t="n">
        <v>1</v>
      </c>
      <c r="B8" s="5">
        <f>Данные!D5</f>
        <v/>
      </c>
      <c r="C8" s="5">
        <f>Данные!E5</f>
        <v/>
      </c>
      <c r="D8" s="5">
        <f>$B$5+$B$4*B8</f>
        <v/>
      </c>
      <c r="E8" s="5">
        <f>C8-D8</f>
        <v/>
      </c>
      <c r="F8" s="5">
        <f>D8^2</f>
        <v/>
      </c>
      <c r="G8" s="5">
        <f>E8^2</f>
        <v/>
      </c>
      <c r="H8" s="5">
        <f>C8^2</f>
        <v/>
      </c>
    </row>
    <row r="9">
      <c r="A9" s="4" t="n">
        <v>2</v>
      </c>
      <c r="B9" s="5">
        <f>Данные!D6</f>
        <v/>
      </c>
      <c r="C9" s="5">
        <f>Данные!E6</f>
        <v/>
      </c>
      <c r="D9" s="5">
        <f>$B$5+$B$4*B9</f>
        <v/>
      </c>
      <c r="E9" s="5">
        <f>C9-D9</f>
        <v/>
      </c>
      <c r="F9" s="5">
        <f>D9^2</f>
        <v/>
      </c>
      <c r="G9" s="5">
        <f>E9^2</f>
        <v/>
      </c>
      <c r="H9" s="5">
        <f>C9^2</f>
        <v/>
      </c>
    </row>
    <row r="10">
      <c r="A10" s="4" t="n">
        <v>3</v>
      </c>
      <c r="B10" s="5">
        <f>Данные!D7</f>
        <v/>
      </c>
      <c r="C10" s="5">
        <f>Данные!E7</f>
        <v/>
      </c>
      <c r="D10" s="5">
        <f>$B$5+$B$4*B10</f>
        <v/>
      </c>
      <c r="E10" s="5">
        <f>C10-D10</f>
        <v/>
      </c>
      <c r="F10" s="5">
        <f>D10^2</f>
        <v/>
      </c>
      <c r="G10" s="5">
        <f>E10^2</f>
        <v/>
      </c>
      <c r="H10" s="5">
        <f>C10^2</f>
        <v/>
      </c>
    </row>
    <row r="11">
      <c r="A11" s="4" t="n">
        <v>4</v>
      </c>
      <c r="B11" s="5">
        <f>Данные!D8</f>
        <v/>
      </c>
      <c r="C11" s="5">
        <f>Данные!E8</f>
        <v/>
      </c>
      <c r="D11" s="5">
        <f>$B$5+$B$4*B11</f>
        <v/>
      </c>
      <c r="E11" s="5">
        <f>C11-D11</f>
        <v/>
      </c>
      <c r="F11" s="5">
        <f>D11^2</f>
        <v/>
      </c>
      <c r="G11" s="5">
        <f>E11^2</f>
        <v/>
      </c>
      <c r="H11" s="5">
        <f>C11^2</f>
        <v/>
      </c>
    </row>
    <row r="12">
      <c r="A12" s="4" t="n">
        <v>5</v>
      </c>
      <c r="B12" s="5">
        <f>Данные!D9</f>
        <v/>
      </c>
      <c r="C12" s="5">
        <f>Данные!E9</f>
        <v/>
      </c>
      <c r="D12" s="5">
        <f>$B$5+$B$4*B12</f>
        <v/>
      </c>
      <c r="E12" s="5">
        <f>C12-D12</f>
        <v/>
      </c>
      <c r="F12" s="5">
        <f>D12^2</f>
        <v/>
      </c>
      <c r="G12" s="5">
        <f>E12^2</f>
        <v/>
      </c>
      <c r="H12" s="5">
        <f>C12^2</f>
        <v/>
      </c>
    </row>
    <row r="13">
      <c r="A13" s="4" t="n">
        <v>6</v>
      </c>
      <c r="B13" s="5">
        <f>Данные!D10</f>
        <v/>
      </c>
      <c r="C13" s="5">
        <f>Данные!E10</f>
        <v/>
      </c>
      <c r="D13" s="5">
        <f>$B$5+$B$4*B13</f>
        <v/>
      </c>
      <c r="E13" s="5">
        <f>C13-D13</f>
        <v/>
      </c>
      <c r="F13" s="5">
        <f>D13^2</f>
        <v/>
      </c>
      <c r="G13" s="5">
        <f>E13^2</f>
        <v/>
      </c>
      <c r="H13" s="5">
        <f>C13^2</f>
        <v/>
      </c>
    </row>
    <row r="14">
      <c r="A14" s="4" t="n">
        <v>7</v>
      </c>
      <c r="B14" s="5">
        <f>Данные!D11</f>
        <v/>
      </c>
      <c r="C14" s="5">
        <f>Данные!E11</f>
        <v/>
      </c>
      <c r="D14" s="5">
        <f>$B$5+$B$4*B14</f>
        <v/>
      </c>
      <c r="E14" s="5">
        <f>C14-D14</f>
        <v/>
      </c>
      <c r="F14" s="5">
        <f>D14^2</f>
        <v/>
      </c>
      <c r="G14" s="5">
        <f>E14^2</f>
        <v/>
      </c>
      <c r="H14" s="5">
        <f>C14^2</f>
        <v/>
      </c>
    </row>
    <row r="15">
      <c r="A15" s="4" t="n">
        <v>8</v>
      </c>
      <c r="B15" s="5">
        <f>Данные!D12</f>
        <v/>
      </c>
      <c r="C15" s="5">
        <f>Данные!E12</f>
        <v/>
      </c>
      <c r="D15" s="5">
        <f>$B$5+$B$4*B15</f>
        <v/>
      </c>
      <c r="E15" s="5">
        <f>C15-D15</f>
        <v/>
      </c>
      <c r="F15" s="5">
        <f>D15^2</f>
        <v/>
      </c>
      <c r="G15" s="5">
        <f>E15^2</f>
        <v/>
      </c>
      <c r="H15" s="5">
        <f>C15^2</f>
        <v/>
      </c>
    </row>
    <row r="16">
      <c r="A16" s="4" t="n">
        <v>9</v>
      </c>
      <c r="B16" s="5">
        <f>Данные!D13</f>
        <v/>
      </c>
      <c r="C16" s="5">
        <f>Данные!E13</f>
        <v/>
      </c>
      <c r="D16" s="5">
        <f>$B$5+$B$4*B16</f>
        <v/>
      </c>
      <c r="E16" s="5">
        <f>C16-D16</f>
        <v/>
      </c>
      <c r="F16" s="5">
        <f>D16^2</f>
        <v/>
      </c>
      <c r="G16" s="5">
        <f>E16^2</f>
        <v/>
      </c>
      <c r="H16" s="5">
        <f>C16^2</f>
        <v/>
      </c>
    </row>
    <row r="17">
      <c r="A17" s="4" t="n">
        <v>10</v>
      </c>
      <c r="B17" s="5">
        <f>Данные!D14</f>
        <v/>
      </c>
      <c r="C17" s="5">
        <f>Данные!E14</f>
        <v/>
      </c>
      <c r="D17" s="5">
        <f>$B$5+$B$4*B17</f>
        <v/>
      </c>
      <c r="E17" s="5">
        <f>C17-D17</f>
        <v/>
      </c>
      <c r="F17" s="5">
        <f>D17^2</f>
        <v/>
      </c>
      <c r="G17" s="5">
        <f>E17^2</f>
        <v/>
      </c>
      <c r="H17" s="5">
        <f>C17^2</f>
        <v/>
      </c>
    </row>
    <row r="18">
      <c r="A18" s="6" t="inlineStr">
        <is>
          <t>Сумма</t>
        </is>
      </c>
      <c r="B18" s="8" t="n"/>
      <c r="C18" s="8" t="n"/>
      <c r="D18" s="8" t="n"/>
      <c r="E18" s="5">
        <f>SUM(E8:E17)</f>
        <v/>
      </c>
      <c r="F18" s="5">
        <f>SUM(F8:F17)</f>
        <v/>
      </c>
      <c r="G18" s="5">
        <f>SUM(G8:G17)</f>
        <v/>
      </c>
      <c r="H18" s="5">
        <f>SUM(H8:H17)</f>
        <v/>
      </c>
    </row>
    <row r="19"/>
    <row r="20">
      <c r="A20" s="11" t="inlineStr">
        <is>
          <t>Σe</t>
        </is>
      </c>
      <c r="B20" s="14">
        <f>E18</f>
        <v/>
      </c>
      <c r="C20" s="2" t="inlineStr">
        <is>
          <t>равно 0 и без константы: данные центрированы</t>
        </is>
      </c>
    </row>
    <row r="21">
      <c r="A21" s="11" t="inlineStr">
        <is>
          <t>RSS = Σŷ²</t>
        </is>
      </c>
      <c r="B21" s="13">
        <f>F18</f>
        <v/>
      </c>
    </row>
    <row r="22">
      <c r="A22" s="11" t="inlineStr">
        <is>
          <t>ESS = Σe²</t>
        </is>
      </c>
      <c r="B22" s="13">
        <f>G18</f>
        <v/>
      </c>
    </row>
    <row r="23">
      <c r="A23" s="11" t="inlineStr">
        <is>
          <t>TSS = Σy²</t>
        </is>
      </c>
      <c r="B23" s="13">
        <f>H18</f>
        <v/>
      </c>
    </row>
    <row r="24">
      <c r="A24" s="11" t="inlineStr">
        <is>
          <t>R² = RSS/TSS</t>
        </is>
      </c>
      <c r="B24" s="12">
        <f>B21/B23</f>
        <v/>
      </c>
    </row>
    <row r="25">
      <c r="A25" s="11" t="inlineStr">
        <is>
          <t>R² = 1 − ESS/TSS</t>
        </is>
      </c>
      <c r="B25" s="12">
        <f>1-B22/B23</f>
        <v/>
      </c>
      <c r="C25" s="2" t="inlineStr">
        <is>
          <t>совпадает с пунктом а)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1" customWidth="1" min="3" max="3"/>
    <col width="15" customWidth="1" min="4" max="4"/>
    <col width="17" customWidth="1" min="5" max="5"/>
    <col width="46" customWidth="1" min="6" max="6"/>
  </cols>
  <sheetData>
    <row r="1">
      <c r="A1" s="1" t="inlineStr">
        <is>
          <t>Задача 2.9. Сводка</t>
        </is>
      </c>
    </row>
    <row r="2"/>
    <row r="3">
      <c r="A3" s="3" t="inlineStr">
        <is>
          <t>Пункт</t>
        </is>
      </c>
      <c r="B3" s="3" t="inlineStr">
        <is>
          <t>Регрессия</t>
        </is>
      </c>
      <c r="C3" s="3" t="inlineStr">
        <is>
          <t>β̂</t>
        </is>
      </c>
      <c r="D3" s="3" t="inlineStr">
        <is>
          <t>R² = RSS/TSS</t>
        </is>
      </c>
      <c r="E3" s="3" t="inlineStr">
        <is>
          <t>R² = 1 − ESS/TSS</t>
        </is>
      </c>
      <c r="F3" s="3" t="inlineStr">
        <is>
          <t>Комментарий</t>
        </is>
      </c>
    </row>
    <row r="4">
      <c r="A4" s="4" t="inlineStr">
        <is>
          <t>а)</t>
        </is>
      </c>
      <c r="B4" s="4" t="inlineStr">
        <is>
          <t>Y на X со свободным членом</t>
        </is>
      </c>
      <c r="C4" s="12">
        <f>'а) с константой'!B4</f>
        <v/>
      </c>
      <c r="D4" s="12">
        <f>'а) с константой'!B23</f>
        <v/>
      </c>
      <c r="E4" s="12">
        <f>'а) с константой'!B24</f>
        <v/>
      </c>
      <c r="F4" s="18" t="inlineStr">
        <is>
          <t>разложение работает, оба способа совпадают</t>
        </is>
      </c>
    </row>
    <row r="5">
      <c r="A5" s="4" t="inlineStr">
        <is>
          <t>б)</t>
        </is>
      </c>
      <c r="B5" s="4" t="inlineStr">
        <is>
          <t>Y на X без свободного члена</t>
        </is>
      </c>
      <c r="C5" s="12">
        <f>'б) без константы'!B4</f>
        <v/>
      </c>
      <c r="D5" s="12">
        <f>'б) без константы'!B27</f>
        <v/>
      </c>
      <c r="E5" s="12">
        <f>'б) без константы'!B28</f>
        <v/>
      </c>
      <c r="F5" s="18" t="inlineStr">
        <is>
          <t>Σe ≠ 0: значения разные и вне [0;1]; Excel печатает R²ᵤ ≈ 0,5890</t>
        </is>
      </c>
    </row>
    <row r="6">
      <c r="A6" s="4" t="inlineStr">
        <is>
          <t>в)</t>
        </is>
      </c>
      <c r="B6" s="4" t="inlineStr">
        <is>
          <t>y на x со свободным членом</t>
        </is>
      </c>
      <c r="C6" s="12">
        <f>'в) и г) центрированные'!B4</f>
        <v/>
      </c>
      <c r="D6" s="12">
        <f>'в) и г) центрированные'!B24</f>
        <v/>
      </c>
      <c r="E6" s="12">
        <f>'в) и г) центрированные'!B25</f>
        <v/>
      </c>
      <c r="F6" s="18" t="inlineStr">
        <is>
          <t>α̂ = 0, поэтому то же, что в а)</t>
        </is>
      </c>
    </row>
    <row r="7">
      <c r="A7" s="4" t="inlineStr">
        <is>
          <t>г)</t>
        </is>
      </c>
      <c r="B7" s="4" t="inlineStr">
        <is>
          <t>y на x без свободного члена</t>
        </is>
      </c>
      <c r="C7" s="12">
        <f>'в) и г) центрированные'!B4</f>
        <v/>
      </c>
      <c r="D7" s="12">
        <f>'в) и г) центрированные'!B24</f>
        <v/>
      </c>
      <c r="E7" s="12">
        <f>'в) и г) центрированные'!B25</f>
        <v/>
      </c>
      <c r="F7" s="18" t="inlineStr">
        <is>
          <t>совпадает с в): константа и так нулевая</t>
        </is>
      </c>
    </row>
    <row r="8"/>
    <row r="9">
      <c r="A9" s="9" t="inlineStr">
        <is>
          <t>Что показать на семинаре</t>
        </is>
      </c>
    </row>
    <row r="10" ht="30" customHeight="1">
      <c r="A10" s="19" t="inlineStr">
        <is>
          <t>1. Центрирование переменных не меняет ни наклон, ни R²: свободный член и так равен нулю (пп. в, г).</t>
        </is>
      </c>
    </row>
    <row r="11" ht="30" customHeight="1">
      <c r="A11" s="19" t="inlineStr">
        <is>
          <t>2. Отбрасывание константы у нецентрированных данных (п. б) меняет модель: Σe ≠ 0, и разложение TSS = RSS + ESS ломается.</t>
        </is>
      </c>
    </row>
    <row r="12" ht="30" customHeight="1">
      <c r="A12" s="19" t="inlineStr">
        <is>
          <t>3. Поэтому в п. б) «коэффициент детерминации» зависит от того, какой формулой его считать: 1,50 или −3,26.</t>
        </is>
      </c>
    </row>
    <row r="13" ht="30" customHeight="1">
      <c r="A13" s="19" t="inlineStr">
        <is>
          <t>4. Excel в этом режиме молча переходит на нецентрированный R²ᵤ = 1 − ESS/ΣY² ≈ 0,589 — сравнивать его с R² из п. а) нельзя.</t>
        </is>
      </c>
    </row>
  </sheetData>
  <mergeCells count="4">
    <mergeCell ref="A13:F13"/>
    <mergeCell ref="A11:F11"/>
    <mergeCell ref="A10:F10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2026-09-21T15:55:08Z</dcterms:created>
  <dcterms:modified xmlns:dcterms="http://purl.org/dc/terms/" xmlns:xsi="http://www.w3.org/2001/XMLSchema-instance" xsi:type="dcterms:W3CDTF">2026-09-21T15:55:08Z</dcterms:modified>
</cp:coreProperties>
</file>